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225" windowWidth="9570" windowHeight="11400" tabRatio="885" activeTab="6"/>
  </bookViews>
  <sheets>
    <sheet name="Giriş Sayfası" sheetId="1" r:id="rId1"/>
    <sheet name="kod_listesi" sheetId="2" r:id="rId2"/>
    <sheet name="Tercih Sayıları" sheetId="5" r:id="rId3"/>
    <sheet name="2018-2019 Konuşan" sheetId="15" r:id="rId4"/>
    <sheet name="Mv.Tercihleri" sheetId="7" r:id="rId5"/>
    <sheet name="HANGİ BÜTÇE KİM" sheetId="8" r:id="rId6"/>
    <sheet name="plan büt trch" sheetId="19" r:id="rId7"/>
    <sheet name="PLAN-BÜTÇE" sheetId="18" r:id="rId8"/>
    <sheet name="TERCİH EDİLMEYEN" sheetId="9" r:id="rId9"/>
    <sheet name="TERCİH kontrol" sheetId="12" r:id="rId10"/>
    <sheet name="tercihi Olmayan" sheetId="13" r:id="rId11"/>
    <sheet name="İSTATİSTİK" sheetId="11" r:id="rId12"/>
    <sheet name="bütç.konuşmayan tercih" sheetId="16" r:id="rId13"/>
    <sheet name="GENKUR KONUŞMAYAN" sheetId="17" r:id="rId14"/>
  </sheets>
  <definedNames>
    <definedName name="_xlnm._FilterDatabase" localSheetId="3" hidden="1">'2018-2019 Konuşan'!$A$2:$E$572</definedName>
    <definedName name="_xlnm._FilterDatabase" localSheetId="12" hidden="1">'bütç.konuşmayan tercih'!$A$2:$G$107</definedName>
    <definedName name="_xlnm._FilterDatabase" localSheetId="0" hidden="1">'Giriş Sayfası'!$A$1:$K$584</definedName>
    <definedName name="_xlnm._FilterDatabase" localSheetId="5" hidden="1">'HANGİ BÜTÇE KİM'!$A$2:$J$545</definedName>
    <definedName name="_xlnm._FilterDatabase" localSheetId="11" hidden="1">İSTATİSTİK!$A$1:$I$291</definedName>
    <definedName name="_xlnm._FilterDatabase" localSheetId="1" hidden="1">kod_listesi!$A$1:$F$291</definedName>
    <definedName name="_xlnm._FilterDatabase" localSheetId="4" hidden="1">Mv.Tercihleri!$A$2:$N$582</definedName>
    <definedName name="_xlnm._FilterDatabase" localSheetId="6" hidden="1">'plan büt trch'!$A$2:$I$46</definedName>
    <definedName name="_xlnm._FilterDatabase" localSheetId="9" hidden="1">'TERCİH kontrol'!$A$2:$G$291</definedName>
    <definedName name="_xlnm._FilterDatabase" localSheetId="2" hidden="1">'Tercih Sayıları'!$A$1:$D$100</definedName>
    <definedName name="_xlnm._FilterDatabase" localSheetId="10" hidden="1">'tercihi Olmayan'!$A$2:$G$137</definedName>
    <definedName name="_xlnm.Extract" localSheetId="0">'Giriş Sayfası'!#REF!</definedName>
    <definedName name="_xlnm.Print_Area" localSheetId="3">'2018-2019 Konuşan'!$B$1:$E$99</definedName>
    <definedName name="_xlnm.Print_Area" localSheetId="13">'GENKUR KONUŞMAYAN'!$B:$H</definedName>
    <definedName name="_xlnm.Print_Area" localSheetId="5">'HANGİ BÜTÇE KİM'!$B$1:$I$545</definedName>
    <definedName name="_xlnm.Print_Area" localSheetId="11">İSTATİSTİK!$B$1:$I$290</definedName>
    <definedName name="_xlnm.Print_Area" localSheetId="1">kod_listesi!$A$1:$F$291</definedName>
    <definedName name="_xlnm.Print_Area" localSheetId="4">Mv.Tercihleri!$B$1:$J$582</definedName>
    <definedName name="_xlnm.Print_Area" localSheetId="6">'plan büt trch'!$B$1:$I$50</definedName>
    <definedName name="_xlnm.Print_Area" localSheetId="7">'PLAN-BÜTÇE'!$B$1:$E$17</definedName>
    <definedName name="_xlnm.Print_Area" localSheetId="9">'TERCİH kontrol'!$A$1:$E$291</definedName>
    <definedName name="_xlnm.Print_Area" localSheetId="10">'tercihi Olmayan'!$A$1:$F$137</definedName>
    <definedName name="_xlnm.Print_Titles" localSheetId="3">'2018-2019 Konuşan'!$1:$2</definedName>
    <definedName name="_xlnm.Print_Titles" localSheetId="5">'HANGİ BÜTÇE KİM'!$1:$2</definedName>
    <definedName name="_xlnm.Print_Titles" localSheetId="11">İSTATİSTİK!$1:$1</definedName>
    <definedName name="_xlnm.Print_Titles" localSheetId="1">kod_listesi!$1:$1</definedName>
    <definedName name="_xlnm.Print_Titles" localSheetId="4">Mv.Tercihleri!$1:$2</definedName>
    <definedName name="_xlnm.Print_Titles" localSheetId="6">'plan büt trch'!$1:$2</definedName>
    <definedName name="_xlnm.Print_Titles" localSheetId="10">'tercihi Olmayan'!$1:$2</definedName>
  </definedNames>
  <calcPr calcId="145621"/>
</workbook>
</file>

<file path=xl/calcChain.xml><?xml version="1.0" encoding="utf-8"?>
<calcChain xmlns="http://schemas.openxmlformats.org/spreadsheetml/2006/main">
  <c r="I585" i="1" l="1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3" i="18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2" i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H6" i="17" l="1"/>
  <c r="H4" i="17"/>
  <c r="H5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" i="17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3" i="16"/>
  <c r="N573" i="7"/>
  <c r="N574" i="7"/>
  <c r="N575" i="7"/>
  <c r="N576" i="7"/>
  <c r="N577" i="7"/>
  <c r="N578" i="7"/>
  <c r="N579" i="7"/>
  <c r="N580" i="7"/>
  <c r="N581" i="7"/>
  <c r="N582" i="7"/>
  <c r="N565" i="7" l="1"/>
  <c r="N566" i="7"/>
  <c r="N567" i="7"/>
  <c r="N568" i="7"/>
  <c r="N569" i="7"/>
  <c r="N570" i="7"/>
  <c r="N571" i="7"/>
  <c r="N572" i="7"/>
  <c r="N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3" i="7" l="1"/>
  <c r="C3" i="15" l="1"/>
  <c r="C4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E256" i="12" l="1"/>
  <c r="E4" i="12" l="1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3" i="12"/>
  <c r="D2" i="5"/>
</calcChain>
</file>

<file path=xl/sharedStrings.xml><?xml version="1.0" encoding="utf-8"?>
<sst xmlns="http://schemas.openxmlformats.org/spreadsheetml/2006/main" count="15759" uniqueCount="1708">
  <si>
    <t>İLİ</t>
  </si>
  <si>
    <t>SOYADI</t>
  </si>
  <si>
    <t>CUMHURBAŞKANLIĞI</t>
  </si>
  <si>
    <t>KÜLTÜR VE TURİZM BAKANLIĞI</t>
  </si>
  <si>
    <t>SAĞLIK BAKANLIĞI</t>
  </si>
  <si>
    <t>MİLLİ SAVUNMA BAKANLIĞI</t>
  </si>
  <si>
    <t>İÇİŞLERİ BAKANLIĞI</t>
  </si>
  <si>
    <t>DIŞİŞLERİ BAKANLIĞI</t>
  </si>
  <si>
    <t>ADALET BAKANLIĞI</t>
  </si>
  <si>
    <t>MİLLİ EĞİTİM BAKANLIĞI</t>
  </si>
  <si>
    <t>ENERJİ VE TABİİ KAYNAKLAR BAKANLIĞI</t>
  </si>
  <si>
    <t>ADANA</t>
  </si>
  <si>
    <t>ÇELİK</t>
  </si>
  <si>
    <t>Ali</t>
  </si>
  <si>
    <t>ADIYAMAN</t>
  </si>
  <si>
    <t>AYDIN</t>
  </si>
  <si>
    <t>Ahmet</t>
  </si>
  <si>
    <t>ERDOĞAN</t>
  </si>
  <si>
    <t>Mehmet</t>
  </si>
  <si>
    <t>AFYONKARAHİSAR</t>
  </si>
  <si>
    <t>Halil</t>
  </si>
  <si>
    <t>EROĞLU</t>
  </si>
  <si>
    <t>Veysel</t>
  </si>
  <si>
    <t>AĞRI</t>
  </si>
  <si>
    <t>AYDEMİR</t>
  </si>
  <si>
    <t>KAYA</t>
  </si>
  <si>
    <t>AKSARAY</t>
  </si>
  <si>
    <t>AÇIKGÖZ</t>
  </si>
  <si>
    <t>İNCEÖZ</t>
  </si>
  <si>
    <t>İlknur</t>
  </si>
  <si>
    <t>AMASYA</t>
  </si>
  <si>
    <t>ANKARA</t>
  </si>
  <si>
    <t>ATALAY</t>
  </si>
  <si>
    <t>Cemil</t>
  </si>
  <si>
    <t>Bülent</t>
  </si>
  <si>
    <t>Salih</t>
  </si>
  <si>
    <t>Burhan</t>
  </si>
  <si>
    <t>ANTALYA</t>
  </si>
  <si>
    <t>ÇAVUŞOĞLU</t>
  </si>
  <si>
    <t>ŞAHİN</t>
  </si>
  <si>
    <t>Mehmet Ali</t>
  </si>
  <si>
    <t>ARDAHAN</t>
  </si>
  <si>
    <t>ARTVİN</t>
  </si>
  <si>
    <t>ERDEM</t>
  </si>
  <si>
    <t>BALIKESİR</t>
  </si>
  <si>
    <t>Ayşe</t>
  </si>
  <si>
    <t>İsmail</t>
  </si>
  <si>
    <t>BARTIN</t>
  </si>
  <si>
    <t>TUNÇ</t>
  </si>
  <si>
    <t>Yılmaz</t>
  </si>
  <si>
    <t>BATMAN</t>
  </si>
  <si>
    <t>Mehmet Emin</t>
  </si>
  <si>
    <t>BAYBURT</t>
  </si>
  <si>
    <t>BİLECİK</t>
  </si>
  <si>
    <t>BİNGÖL</t>
  </si>
  <si>
    <t>Yusuf</t>
  </si>
  <si>
    <t>YILMAZ</t>
  </si>
  <si>
    <t>Cevdet</t>
  </si>
  <si>
    <t>BİTLİS</t>
  </si>
  <si>
    <t>BOLU</t>
  </si>
  <si>
    <t>Fatih</t>
  </si>
  <si>
    <t>Metin</t>
  </si>
  <si>
    <t>BURDUR</t>
  </si>
  <si>
    <t>ÖZÇELİK</t>
  </si>
  <si>
    <t>Bayram</t>
  </si>
  <si>
    <t>BURSA</t>
  </si>
  <si>
    <t>ÇANAKKALE</t>
  </si>
  <si>
    <t>ÇANKIRI</t>
  </si>
  <si>
    <t>Nurettin</t>
  </si>
  <si>
    <t>ÇORUM</t>
  </si>
  <si>
    <t>Cahit</t>
  </si>
  <si>
    <t>YILDIRIM</t>
  </si>
  <si>
    <t>Murat</t>
  </si>
  <si>
    <t>DENİZLİ</t>
  </si>
  <si>
    <t>DİYARBAKIR</t>
  </si>
  <si>
    <t>ARSLAN</t>
  </si>
  <si>
    <t>Osman</t>
  </si>
  <si>
    <t>EKER</t>
  </si>
  <si>
    <t>Mehmet Mehdi</t>
  </si>
  <si>
    <t>Ali İhsan</t>
  </si>
  <si>
    <t>DÜZCE</t>
  </si>
  <si>
    <t>EDİRNE</t>
  </si>
  <si>
    <t>ELAZIĞ</t>
  </si>
  <si>
    <t>ÖZTÜRK</t>
  </si>
  <si>
    <t>Hamza</t>
  </si>
  <si>
    <t>ERZİNCAN</t>
  </si>
  <si>
    <t>Binali</t>
  </si>
  <si>
    <t>ERZURUM</t>
  </si>
  <si>
    <t>AKDAĞ</t>
  </si>
  <si>
    <t>Recep</t>
  </si>
  <si>
    <t>İbrahim</t>
  </si>
  <si>
    <t>ESKİŞEHİR</t>
  </si>
  <si>
    <t>GAZİANTEP</t>
  </si>
  <si>
    <t>Fatma</t>
  </si>
  <si>
    <t>ŞİMŞEK</t>
  </si>
  <si>
    <t>GİRESUN</t>
  </si>
  <si>
    <t>CANİKLİ</t>
  </si>
  <si>
    <t>GÜMÜŞHANE</t>
  </si>
  <si>
    <t>HATAY</t>
  </si>
  <si>
    <t>Orhan</t>
  </si>
  <si>
    <t>Mustafa</t>
  </si>
  <si>
    <t>ISPARTA</t>
  </si>
  <si>
    <t>BİLGİÇ</t>
  </si>
  <si>
    <t>Süreyya Sadi</t>
  </si>
  <si>
    <t>İSTANBUL</t>
  </si>
  <si>
    <t>ATAŞ</t>
  </si>
  <si>
    <t>Hüseyin</t>
  </si>
  <si>
    <t>Fuat</t>
  </si>
  <si>
    <t>GÜNAY</t>
  </si>
  <si>
    <t>YAZICI</t>
  </si>
  <si>
    <t>Hayati</t>
  </si>
  <si>
    <t>İZMİR</t>
  </si>
  <si>
    <t>KAHRAMANMARAŞ</t>
  </si>
  <si>
    <t>Nevzat</t>
  </si>
  <si>
    <t>KARABÜK</t>
  </si>
  <si>
    <t>ÜNAL</t>
  </si>
  <si>
    <t>KARAMAN</t>
  </si>
  <si>
    <t>ELVAN</t>
  </si>
  <si>
    <t>KARS</t>
  </si>
  <si>
    <t>KASTAMONU</t>
  </si>
  <si>
    <t>Hasan</t>
  </si>
  <si>
    <t>KÖYLÜ</t>
  </si>
  <si>
    <t>Hakkı</t>
  </si>
  <si>
    <t>KAYSERİ</t>
  </si>
  <si>
    <t>ELİTAŞ</t>
  </si>
  <si>
    <t>KARAYEL</t>
  </si>
  <si>
    <t>YILDIZ</t>
  </si>
  <si>
    <t>Taner</t>
  </si>
  <si>
    <t>KIRIKKALE</t>
  </si>
  <si>
    <t>KIRKLARELİ</t>
  </si>
  <si>
    <t>KIRŞEHİR</t>
  </si>
  <si>
    <t>Abdullah</t>
  </si>
  <si>
    <t>KİLİS</t>
  </si>
  <si>
    <t>KOCAELİ</t>
  </si>
  <si>
    <t>IŞIK</t>
  </si>
  <si>
    <t>Fikri</t>
  </si>
  <si>
    <t>KONYA</t>
  </si>
  <si>
    <t>Harun</t>
  </si>
  <si>
    <t>KÜTAHYA</t>
  </si>
  <si>
    <t>ORDU</t>
  </si>
  <si>
    <t>MALATYA</t>
  </si>
  <si>
    <t>ÇALIK</t>
  </si>
  <si>
    <t>Öznur</t>
  </si>
  <si>
    <t>MANİSA</t>
  </si>
  <si>
    <t>MARDİN</t>
  </si>
  <si>
    <t>DEMİR</t>
  </si>
  <si>
    <t>MERSİN</t>
  </si>
  <si>
    <t>MUĞLA</t>
  </si>
  <si>
    <t>MUŞ</t>
  </si>
  <si>
    <t>NEVŞEHİR</t>
  </si>
  <si>
    <t>NİĞDE</t>
  </si>
  <si>
    <t>OSMANİYE</t>
  </si>
  <si>
    <t>RİZE</t>
  </si>
  <si>
    <t>SAKARYA</t>
  </si>
  <si>
    <t>SAMSUN</t>
  </si>
  <si>
    <t>KILIÇ</t>
  </si>
  <si>
    <t>SİİRT</t>
  </si>
  <si>
    <t>SİNOP</t>
  </si>
  <si>
    <t>SİVAS</t>
  </si>
  <si>
    <t>ŞANLIURFA</t>
  </si>
  <si>
    <t>Ramazan</t>
  </si>
  <si>
    <t>GÜLPINAR</t>
  </si>
  <si>
    <t>TEKİRDAĞ</t>
  </si>
  <si>
    <t>TOKAT</t>
  </si>
  <si>
    <t>TRABZON</t>
  </si>
  <si>
    <t>UŞAK</t>
  </si>
  <si>
    <t>USLU</t>
  </si>
  <si>
    <t>VAN</t>
  </si>
  <si>
    <t>YALOVA</t>
  </si>
  <si>
    <t>YOZGAT</t>
  </si>
  <si>
    <t>BOZDAĞ</t>
  </si>
  <si>
    <t>Bekir</t>
  </si>
  <si>
    <t>ZONGULDAK</t>
  </si>
  <si>
    <t>ERDİNÇ</t>
  </si>
  <si>
    <t>Mehmet Şükrü</t>
  </si>
  <si>
    <t>Ekrem</t>
  </si>
  <si>
    <t>BOSTANCI</t>
  </si>
  <si>
    <t>Mehmet Naci</t>
  </si>
  <si>
    <t>AKDOĞAN</t>
  </si>
  <si>
    <t>Yalçın</t>
  </si>
  <si>
    <t>İŞLER</t>
  </si>
  <si>
    <t>Emrullah</t>
  </si>
  <si>
    <t>Tülay</t>
  </si>
  <si>
    <t>BABUŞCU</t>
  </si>
  <si>
    <t>ÖZDEMİR</t>
  </si>
  <si>
    <t>DEMİRÖZ</t>
  </si>
  <si>
    <t>Vedat</t>
  </si>
  <si>
    <t>KÜPÇÜ</t>
  </si>
  <si>
    <t>Fehmi</t>
  </si>
  <si>
    <t>Hakan</t>
  </si>
  <si>
    <t>İsmet</t>
  </si>
  <si>
    <t>Salim</t>
  </si>
  <si>
    <t>ÇAKIR</t>
  </si>
  <si>
    <t>Cengiz</t>
  </si>
  <si>
    <t>Adnan</t>
  </si>
  <si>
    <t>AVCI</t>
  </si>
  <si>
    <t>Nabi</t>
  </si>
  <si>
    <t>CAN</t>
  </si>
  <si>
    <t>KOÇER</t>
  </si>
  <si>
    <t>İbrahim Halil</t>
  </si>
  <si>
    <t>Şamil</t>
  </si>
  <si>
    <t>TÜRKOĞLU</t>
  </si>
  <si>
    <t>Hacı Bayram</t>
  </si>
  <si>
    <t>BAK</t>
  </si>
  <si>
    <t>Osman Aşkın</t>
  </si>
  <si>
    <t>BOYRAZ</t>
  </si>
  <si>
    <t>BOZKIR</t>
  </si>
  <si>
    <t>Volkan</t>
  </si>
  <si>
    <t>ÇONKAR</t>
  </si>
  <si>
    <t>Ahmet Berat</t>
  </si>
  <si>
    <t>Erol</t>
  </si>
  <si>
    <t>KAYNARCA</t>
  </si>
  <si>
    <t>KUBAT</t>
  </si>
  <si>
    <t>Mehmet Doğan</t>
  </si>
  <si>
    <t>SATIR</t>
  </si>
  <si>
    <t>Mihrimah Belma</t>
  </si>
  <si>
    <t>ŞENTOP</t>
  </si>
  <si>
    <t>TURAN</t>
  </si>
  <si>
    <t>TÜRKEŞ</t>
  </si>
  <si>
    <t>UÇMA</t>
  </si>
  <si>
    <t>Şirin</t>
  </si>
  <si>
    <t>DAĞ</t>
  </si>
  <si>
    <t>GÜVENÇ</t>
  </si>
  <si>
    <t>Mahir</t>
  </si>
  <si>
    <t>Lütfi</t>
  </si>
  <si>
    <t>TAMER</t>
  </si>
  <si>
    <t>ŞEKER</t>
  </si>
  <si>
    <t>İlyas</t>
  </si>
  <si>
    <t>KAVUNCU</t>
  </si>
  <si>
    <t>Uğur</t>
  </si>
  <si>
    <t>YAVUZ</t>
  </si>
  <si>
    <t>Akif Çağatay</t>
  </si>
  <si>
    <t>AKYÜREK</t>
  </si>
  <si>
    <t>Mehmet Kasım</t>
  </si>
  <si>
    <t>ÖZCAN</t>
  </si>
  <si>
    <t>ALTAY</t>
  </si>
  <si>
    <t>BAŞER</t>
  </si>
  <si>
    <t>ÇEVRE VE ŞEHİRCİLİK BAKANLIĞI</t>
  </si>
  <si>
    <t>GENÇLİK VE SPOR BAKANLIĞI</t>
  </si>
  <si>
    <t>MESLEĞİ</t>
  </si>
  <si>
    <t>FIRAT</t>
  </si>
  <si>
    <t>TRCH</t>
  </si>
  <si>
    <t>DAĞLI</t>
  </si>
  <si>
    <t>Tamer</t>
  </si>
  <si>
    <t>ÖZKAYA</t>
  </si>
  <si>
    <t>AYDOĞDU</t>
  </si>
  <si>
    <t>CEYLAN</t>
  </si>
  <si>
    <t>ÇAM</t>
  </si>
  <si>
    <t>Lütfiye Selva</t>
  </si>
  <si>
    <t>GÜNDOĞDU</t>
  </si>
  <si>
    <t>SARIEROĞLU</t>
  </si>
  <si>
    <t>Jülide</t>
  </si>
  <si>
    <t>Yıldırım Tuğrul</t>
  </si>
  <si>
    <t>Sena Nur</t>
  </si>
  <si>
    <t>KÖSE</t>
  </si>
  <si>
    <t>Atay</t>
  </si>
  <si>
    <t>SAVAŞ</t>
  </si>
  <si>
    <t>ALA</t>
  </si>
  <si>
    <t>Efkan</t>
  </si>
  <si>
    <t>Muhammet Müfit</t>
  </si>
  <si>
    <t>MESTEN</t>
  </si>
  <si>
    <t>YAVUZ GÖZGEÇ</t>
  </si>
  <si>
    <t>Emine</t>
  </si>
  <si>
    <t>AKBAŞOĞLU</t>
  </si>
  <si>
    <t>Muhammet Emin</t>
  </si>
  <si>
    <t>Ahmet Sami</t>
  </si>
  <si>
    <t>ÖZKAN</t>
  </si>
  <si>
    <t>TİN</t>
  </si>
  <si>
    <t>Şahin</t>
  </si>
  <si>
    <t>BAL</t>
  </si>
  <si>
    <t>Ebubekir</t>
  </si>
  <si>
    <t>KEŞİR</t>
  </si>
  <si>
    <t>BULUT</t>
  </si>
  <si>
    <t>Tahir</t>
  </si>
  <si>
    <t>BAYRAM</t>
  </si>
  <si>
    <t>Serkan</t>
  </si>
  <si>
    <t>Zehra</t>
  </si>
  <si>
    <t>Emine Nur</t>
  </si>
  <si>
    <t>KARACAN</t>
  </si>
  <si>
    <t>Canan</t>
  </si>
  <si>
    <t>UZER</t>
  </si>
  <si>
    <t>Abdulkadir</t>
  </si>
  <si>
    <t>Cemal</t>
  </si>
  <si>
    <t>Sabri</t>
  </si>
  <si>
    <t>AKGÜL</t>
  </si>
  <si>
    <t>Hacı Osman</t>
  </si>
  <si>
    <t>PEKTAŞ</t>
  </si>
  <si>
    <t>Cihan</t>
  </si>
  <si>
    <t>ŞANVERDİ</t>
  </si>
  <si>
    <t>Aziz</t>
  </si>
  <si>
    <t>ÇAMLI</t>
  </si>
  <si>
    <t>Ahmet Hamdi</t>
  </si>
  <si>
    <t>DALKILIÇ</t>
  </si>
  <si>
    <t>Halis</t>
  </si>
  <si>
    <t>EKİNCİ</t>
  </si>
  <si>
    <t>KANDEMİR</t>
  </si>
  <si>
    <t>Erkan</t>
  </si>
  <si>
    <t>KAVAKCI KAN</t>
  </si>
  <si>
    <t>Ravza</t>
  </si>
  <si>
    <t>SAYAN KAYA</t>
  </si>
  <si>
    <t>Fatma Betül</t>
  </si>
  <si>
    <t>ŞENTÜRK</t>
  </si>
  <si>
    <t>Hulusi</t>
  </si>
  <si>
    <t>YAŞAR</t>
  </si>
  <si>
    <t>Serap</t>
  </si>
  <si>
    <t>ZENGİN</t>
  </si>
  <si>
    <t>Necip</t>
  </si>
  <si>
    <t>Mahmut Atilla</t>
  </si>
  <si>
    <t>Mehmet Uğur</t>
  </si>
  <si>
    <t>Celalettin</t>
  </si>
  <si>
    <t>İmran</t>
  </si>
  <si>
    <t>Sami</t>
  </si>
  <si>
    <t>İsmail Emrah</t>
  </si>
  <si>
    <t>NERGİS</t>
  </si>
  <si>
    <t>Hülya</t>
  </si>
  <si>
    <t>ÖZHASEKİ</t>
  </si>
  <si>
    <t>MİNSOLMAZ</t>
  </si>
  <si>
    <t>Selahattin</t>
  </si>
  <si>
    <t>DÜLGER</t>
  </si>
  <si>
    <t>Mustafa Hilmi</t>
  </si>
  <si>
    <t>POLAT</t>
  </si>
  <si>
    <t>KATIRCIOĞLU</t>
  </si>
  <si>
    <t>Radiye Sezer</t>
  </si>
  <si>
    <t>YAMAN</t>
  </si>
  <si>
    <t>Mehmet Akif</t>
  </si>
  <si>
    <t>AĞRALI</t>
  </si>
  <si>
    <t>ALTUNYALDIZ</t>
  </si>
  <si>
    <t>Ziya</t>
  </si>
  <si>
    <t>ETYEMEZ</t>
  </si>
  <si>
    <t>Hacı Ahmet</t>
  </si>
  <si>
    <t>SORGUN</t>
  </si>
  <si>
    <t>ŞAHİN USTA</t>
  </si>
  <si>
    <t>Leyla</t>
  </si>
  <si>
    <t>GAZEL</t>
  </si>
  <si>
    <t>İshak</t>
  </si>
  <si>
    <t>TAN</t>
  </si>
  <si>
    <t>TÜFENKCİ</t>
  </si>
  <si>
    <t>BAYBATUR</t>
  </si>
  <si>
    <t>BİLEN</t>
  </si>
  <si>
    <t>BÖLÜNMEZ ÇANKIRI</t>
  </si>
  <si>
    <t>Ceyda</t>
  </si>
  <si>
    <t>Hacı</t>
  </si>
  <si>
    <t>TAŞKIN</t>
  </si>
  <si>
    <t>Ali Cumhur</t>
  </si>
  <si>
    <t>KURTULMUŞ</t>
  </si>
  <si>
    <t>Numan</t>
  </si>
  <si>
    <t>TAŞCI</t>
  </si>
  <si>
    <t>Ergün</t>
  </si>
  <si>
    <t>DURMUŞOĞLU</t>
  </si>
  <si>
    <t>Mücahit</t>
  </si>
  <si>
    <t>UNCUOĞLU</t>
  </si>
  <si>
    <t>DEMİRCAN</t>
  </si>
  <si>
    <t>KARAASLAN</t>
  </si>
  <si>
    <t>Çiğdem</t>
  </si>
  <si>
    <t>KIRCALI</t>
  </si>
  <si>
    <t>KÖKTAŞ</t>
  </si>
  <si>
    <t>Yasin</t>
  </si>
  <si>
    <t>MAVİŞ</t>
  </si>
  <si>
    <t>Nazım</t>
  </si>
  <si>
    <t>Selim</t>
  </si>
  <si>
    <t>SOLUK</t>
  </si>
  <si>
    <t>Mehmet Habib</t>
  </si>
  <si>
    <t>CEVHERİ</t>
  </si>
  <si>
    <t>FAKIBABA</t>
  </si>
  <si>
    <t>Ahmet Eşref</t>
  </si>
  <si>
    <t>YEL</t>
  </si>
  <si>
    <t>BEYAZIT</t>
  </si>
  <si>
    <t>BALTA</t>
  </si>
  <si>
    <t>Muhammet</t>
  </si>
  <si>
    <t>CORA</t>
  </si>
  <si>
    <t>GÜNNAR</t>
  </si>
  <si>
    <t>Süleyman</t>
  </si>
  <si>
    <t>BİTİRDİĞİ OKUL</t>
  </si>
  <si>
    <t>BİTİRDİĞİ BÖLÜM</t>
  </si>
  <si>
    <t>KOMİSYON</t>
  </si>
  <si>
    <t>MV.İLİ</t>
  </si>
  <si>
    <t>MV.SOYADI</t>
  </si>
  <si>
    <t>MV.ADI</t>
  </si>
  <si>
    <t>KURUM ADI</t>
  </si>
  <si>
    <t>KRM KOD</t>
  </si>
  <si>
    <t>M.KOD</t>
  </si>
  <si>
    <t>ORJ.SIRA</t>
  </si>
  <si>
    <t>05337663247</t>
  </si>
  <si>
    <t>05337341295</t>
  </si>
  <si>
    <t>05324950202</t>
  </si>
  <si>
    <t>05326822074</t>
  </si>
  <si>
    <t>05324460303</t>
  </si>
  <si>
    <t>05322851875</t>
  </si>
  <si>
    <t>05331528068</t>
  </si>
  <si>
    <t>05301056868</t>
  </si>
  <si>
    <t>05323421350</t>
  </si>
  <si>
    <t>05336590000</t>
  </si>
  <si>
    <t>05322337656</t>
  </si>
  <si>
    <t>05337380197</t>
  </si>
  <si>
    <t>05301051960</t>
  </si>
  <si>
    <t>05332561102</t>
  </si>
  <si>
    <t>05301042929</t>
  </si>
  <si>
    <t>05326769970</t>
  </si>
  <si>
    <t>05321765078</t>
  </si>
  <si>
    <t>05326982461</t>
  </si>
  <si>
    <t>05324244558</t>
  </si>
  <si>
    <t>05063337565</t>
  </si>
  <si>
    <t>05327226166</t>
  </si>
  <si>
    <t>05324151339</t>
  </si>
  <si>
    <t>05337663904</t>
  </si>
  <si>
    <t>05322168047</t>
  </si>
  <si>
    <t>05327109061</t>
  </si>
  <si>
    <t>05326531110</t>
  </si>
  <si>
    <t>05324282964</t>
  </si>
  <si>
    <t>05323060699</t>
  </si>
  <si>
    <t>05323931745</t>
  </si>
  <si>
    <t>05323375651</t>
  </si>
  <si>
    <t>05326280630</t>
  </si>
  <si>
    <t>05337310272</t>
  </si>
  <si>
    <t>05335129343</t>
  </si>
  <si>
    <t>05324759471</t>
  </si>
  <si>
    <t>05333877869</t>
  </si>
  <si>
    <t>05335279818</t>
  </si>
  <si>
    <t>05324465854</t>
  </si>
  <si>
    <t>05306142487</t>
  </si>
  <si>
    <t>05323337494</t>
  </si>
  <si>
    <t>05323281629</t>
  </si>
  <si>
    <t>05323171047</t>
  </si>
  <si>
    <t>05326379193</t>
  </si>
  <si>
    <t>05323134512</t>
  </si>
  <si>
    <t>05312619230</t>
  </si>
  <si>
    <t>05325832668</t>
  </si>
  <si>
    <t>05323221783</t>
  </si>
  <si>
    <t>05335911208</t>
  </si>
  <si>
    <t>05323235504</t>
  </si>
  <si>
    <t>05325902828</t>
  </si>
  <si>
    <t>05322474955</t>
  </si>
  <si>
    <t>05338119011</t>
  </si>
  <si>
    <t>05324142413</t>
  </si>
  <si>
    <t>05323557580</t>
  </si>
  <si>
    <t>05323315486</t>
  </si>
  <si>
    <t>05057773408</t>
  </si>
  <si>
    <t>05339666666</t>
  </si>
  <si>
    <t>05332812149</t>
  </si>
  <si>
    <t>05309301515</t>
  </si>
  <si>
    <t>05332750755</t>
  </si>
  <si>
    <t>05309300303</t>
  </si>
  <si>
    <t>05323225625</t>
  </si>
  <si>
    <t>05301741793</t>
  </si>
  <si>
    <t>05325255693</t>
  </si>
  <si>
    <t>05337272222</t>
  </si>
  <si>
    <t>05322931289</t>
  </si>
  <si>
    <t>05322458912</t>
  </si>
  <si>
    <t>05326517068</t>
  </si>
  <si>
    <t>05323134225</t>
  </si>
  <si>
    <t>05327666059</t>
  </si>
  <si>
    <t>05334219245</t>
  </si>
  <si>
    <t>05323849580</t>
  </si>
  <si>
    <t>05327916481</t>
  </si>
  <si>
    <t>05057779534</t>
  </si>
  <si>
    <t>05335291516</t>
  </si>
  <si>
    <t>05332307213</t>
  </si>
  <si>
    <t>05321369999</t>
  </si>
  <si>
    <t>05058113341</t>
  </si>
  <si>
    <t>05323016064</t>
  </si>
  <si>
    <t>05053470558</t>
  </si>
  <si>
    <t>05425908849</t>
  </si>
  <si>
    <t>05323403737</t>
  </si>
  <si>
    <t>05332457777</t>
  </si>
  <si>
    <t>05423653866</t>
  </si>
  <si>
    <t>05304550038</t>
  </si>
  <si>
    <t>05321782728</t>
  </si>
  <si>
    <t>05057773877</t>
  </si>
  <si>
    <t>05323817171</t>
  </si>
  <si>
    <t>05322847900</t>
  </si>
  <si>
    <t>05322758985</t>
  </si>
  <si>
    <t>05323557511</t>
  </si>
  <si>
    <t>05063334166</t>
  </si>
  <si>
    <t>05352585237</t>
  </si>
  <si>
    <t>05322719991</t>
  </si>
  <si>
    <t>05322010540</t>
  </si>
  <si>
    <t>05325000953</t>
  </si>
  <si>
    <t>05057770642</t>
  </si>
  <si>
    <t>05308807570</t>
  </si>
  <si>
    <t>05305550842</t>
  </si>
  <si>
    <t>05432340242</t>
  </si>
  <si>
    <t>05327440231</t>
  </si>
  <si>
    <t>05336134157</t>
  </si>
  <si>
    <t>05558726600</t>
  </si>
  <si>
    <t>05337259237</t>
  </si>
  <si>
    <t>05336513382</t>
  </si>
  <si>
    <t>05322527743</t>
  </si>
  <si>
    <t>05337204867</t>
  </si>
  <si>
    <t>05322729022</t>
  </si>
  <si>
    <t>05324237772</t>
  </si>
  <si>
    <t>05323635030</t>
  </si>
  <si>
    <t>05326215802</t>
  </si>
  <si>
    <t>05057711403</t>
  </si>
  <si>
    <t>05322475415</t>
  </si>
  <si>
    <t>05427231947</t>
  </si>
  <si>
    <t>05324427211</t>
  </si>
  <si>
    <t>05323617066</t>
  </si>
  <si>
    <t>05325093600</t>
  </si>
  <si>
    <t>05309300707</t>
  </si>
  <si>
    <t>05063335334</t>
  </si>
  <si>
    <t>05322408625</t>
  </si>
  <si>
    <t>05337427976</t>
  </si>
  <si>
    <t>05324676182</t>
  </si>
  <si>
    <t>05325863871</t>
  </si>
  <si>
    <t>05303100000</t>
  </si>
  <si>
    <t>05423725859</t>
  </si>
  <si>
    <t>05322422324</t>
  </si>
  <si>
    <t>05324247463</t>
  </si>
  <si>
    <t>05052045858</t>
  </si>
  <si>
    <t>05053470500</t>
  </si>
  <si>
    <t>05424360025</t>
  </si>
  <si>
    <t>05324214786</t>
  </si>
  <si>
    <t>05053529404</t>
  </si>
  <si>
    <t>05309536161</t>
  </si>
  <si>
    <t>05327221015</t>
  </si>
  <si>
    <t>05324372420</t>
  </si>
  <si>
    <t>05322025195</t>
  </si>
  <si>
    <t>05424346611</t>
  </si>
  <si>
    <t>05301050666</t>
  </si>
  <si>
    <t>Kod</t>
  </si>
  <si>
    <t>05322717624</t>
  </si>
  <si>
    <t>05309155299</t>
  </si>
  <si>
    <t>05309573838</t>
  </si>
  <si>
    <t>05309155272</t>
  </si>
  <si>
    <t>TÜRKİYE BÜYÜK MİLLET MECLİSİ</t>
  </si>
  <si>
    <t>SAYIŞTAY</t>
  </si>
  <si>
    <t>ANAYASA MAHKEMESİ</t>
  </si>
  <si>
    <t>YARGITAY</t>
  </si>
  <si>
    <t>DANIŞTAY</t>
  </si>
  <si>
    <t>Kamu Denetçiliği Kurumu</t>
  </si>
  <si>
    <t>Milli Güvenlik Kurulu Genel Sekreterliği</t>
  </si>
  <si>
    <t>Diyanet İşleri Başkanlığı</t>
  </si>
  <si>
    <t>Radyo ve Televizyon Üst Kurulu</t>
  </si>
  <si>
    <t>Afet ve Acil Durum Yönetimi Başkanlığı</t>
  </si>
  <si>
    <t>Türkiye İnsan Hakları ve Eşitlik Kurumu</t>
  </si>
  <si>
    <t>Bankacılık Düzenleme ve Denetleme Kurumu</t>
  </si>
  <si>
    <t>Sermaye Piyasası Kurulu</t>
  </si>
  <si>
    <t>Vakıflar Genel Müdürlüğü</t>
  </si>
  <si>
    <t>Türk İşbirliği ve Koordinasyon Ajansı Başkanlığı</t>
  </si>
  <si>
    <t>Yurtdışı Türkler ve Akraba Topluluklar Başkanlığı</t>
  </si>
  <si>
    <t>Atatürk Kültür, Dil ve Tarih Yüksek Kurumu</t>
  </si>
  <si>
    <t>Atatürk Araştırma Merkezi</t>
  </si>
  <si>
    <t>Atatürk Kültür Merkezi</t>
  </si>
  <si>
    <t>Türk Dil Kurumu</t>
  </si>
  <si>
    <t>Türk Tarih Kurumu</t>
  </si>
  <si>
    <t>Kişisel Verileri Koruma Kurumu</t>
  </si>
  <si>
    <t>Karayolları Genel Müdürlüğü</t>
  </si>
  <si>
    <t>Bilgi Teknolojileri ve İletişim Kurumu</t>
  </si>
  <si>
    <t>Sivil Havacılık Genel Müdürlüğü</t>
  </si>
  <si>
    <t>Mesleki Yeterlilik Kurumu</t>
  </si>
  <si>
    <t>Türk Akreditasyon Kurumu</t>
  </si>
  <si>
    <t>Türkiye İstatistik Kurumu</t>
  </si>
  <si>
    <t>GAP Bölge Kalkınma İdaresi Başkanlığı</t>
  </si>
  <si>
    <t>Doğu Anadolu Projesi Bölge Kalkınma İdaresi Başkanlığı</t>
  </si>
  <si>
    <t>Konya Ovası Projesi Bölge Kalkınma İdaresi Başkanlığı</t>
  </si>
  <si>
    <t>Doğu Karadeniz Projesi Bölge Kalkınma İdaresi Başkanlığı</t>
  </si>
  <si>
    <t>Ceza ve İnfaz Kurumları ile Tutukevleri İş Yurtları Kurumu</t>
  </si>
  <si>
    <t>Türkiye Adalet Akademisi</t>
  </si>
  <si>
    <t>Hakimler ve Savcılar Kurulu</t>
  </si>
  <si>
    <t>Emniyet Genel Müdürlüğü</t>
  </si>
  <si>
    <t>Jandarma Genel Komutanlığı</t>
  </si>
  <si>
    <t>Sahil Güvenlik Komutanlığı</t>
  </si>
  <si>
    <t>Göç İdaresi Genel Müdürlüğü</t>
  </si>
  <si>
    <t>Devlet Opera ve Balesi Genel Müdürlüğü</t>
  </si>
  <si>
    <t>Devlet Tiyatroları Genel Müdürlüğü</t>
  </si>
  <si>
    <t>Türkiye Yazma Eserler Kurumu Başkanlığı</t>
  </si>
  <si>
    <t>Rekabet Kurumu</t>
  </si>
  <si>
    <t>Enerji Piyasası Düzenleme Kurumu</t>
  </si>
  <si>
    <t>Maden Tetkik ve Arama Genel Müdürlüğü</t>
  </si>
  <si>
    <t>Orman Genel Müdürlüğü</t>
  </si>
  <si>
    <t>Devlet Su İşleri Genel Müdürlüğü</t>
  </si>
  <si>
    <t>Meteoroloji Genel Müdürlüğü</t>
  </si>
  <si>
    <t>Türkiye Su Enstitüsü</t>
  </si>
  <si>
    <t>Türkiye Hudut ve Sahiller Sağlık Genel Müdürlüğü</t>
  </si>
  <si>
    <t>Türkiye İlaç ve Tıbbi Cihaz Kurumu</t>
  </si>
  <si>
    <t>Türkiye Sağlık Enstitüleri Başkanlığı</t>
  </si>
  <si>
    <t>Küçük ve Orta Ölçekli İşletmeleri Geliştirme ve Destekleme İdaresi Başkanlığı</t>
  </si>
  <si>
    <t>Türkiye Bilimsel ve Teknolojik Araştırma Kurumu</t>
  </si>
  <si>
    <t>Türkiye Bilimler Akademisi</t>
  </si>
  <si>
    <t>Türk Patent ve Marka Kurumu</t>
  </si>
  <si>
    <t>Tapu ve Kadastro Genel Müdürlüğü</t>
  </si>
  <si>
    <t>Ölçme, Seçme ve Yerleştirme Merkezi Başkanlığı</t>
  </si>
  <si>
    <t>Gelir İdaresi Başkanlığı</t>
  </si>
  <si>
    <t>Kamu İhale Kurumu</t>
  </si>
  <si>
    <t>Özelleştirme İdaresi Başkanlığı</t>
  </si>
  <si>
    <t>Kamu Gözetimi, Muhasebe ve Denetim Standartları Kurumu</t>
  </si>
  <si>
    <t>05327971618</t>
  </si>
  <si>
    <t>Avukat</t>
  </si>
  <si>
    <t>Öğretim Üyesi</t>
  </si>
  <si>
    <t>Öğretmen</t>
  </si>
  <si>
    <t>Yönetici - Özel Sektör</t>
  </si>
  <si>
    <t>Akademisyen</t>
  </si>
  <si>
    <t>Orman Mühendisi</t>
  </si>
  <si>
    <t>Mülki İdare Amiri</t>
  </si>
  <si>
    <t>Bürokrat</t>
  </si>
  <si>
    <t>Öğretim Görevlisi</t>
  </si>
  <si>
    <t>Mali Müşavir</t>
  </si>
  <si>
    <t>Diş Hekimi</t>
  </si>
  <si>
    <t>Doktor</t>
  </si>
  <si>
    <t>Eczacı</t>
  </si>
  <si>
    <t>İş Adamı</t>
  </si>
  <si>
    <t>Kamu Yöneticisi</t>
  </si>
  <si>
    <t>İşletmeci</t>
  </si>
  <si>
    <t>Eğitimci</t>
  </si>
  <si>
    <t>Makina Mühendisi</t>
  </si>
  <si>
    <t>Elektrik Mühendisi</t>
  </si>
  <si>
    <t>KRM
KOD</t>
  </si>
  <si>
    <t>HANGİ MİLLETVEKİLİ NEREYİ TERCİH ETTİ</t>
  </si>
  <si>
    <t>MV.
KOD</t>
  </si>
  <si>
    <t>BÜTÇE KURUM ADI</t>
  </si>
  <si>
    <t>BÜTÇE
KODU</t>
  </si>
  <si>
    <t>HANGİ KURUMU KİM TERCİH ETTİ</t>
  </si>
  <si>
    <t>HİÇ TERCİH EDİLMEYEN KURUM</t>
  </si>
  <si>
    <t>TERCİH
SAYISI</t>
  </si>
  <si>
    <t>MESLEK</t>
  </si>
  <si>
    <t>Yükseköğretim Kurulu</t>
  </si>
  <si>
    <t>DOĞRU</t>
  </si>
  <si>
    <t>05325054026</t>
  </si>
  <si>
    <t>05331678223</t>
  </si>
  <si>
    <t>ZENBİLCİ</t>
  </si>
  <si>
    <t>05322704620</t>
  </si>
  <si>
    <t>TAŞ</t>
  </si>
  <si>
    <t>Yakup</t>
  </si>
  <si>
    <t>05333743252</t>
  </si>
  <si>
    <t>TOPRAK</t>
  </si>
  <si>
    <t>Muhammed Fatih</t>
  </si>
  <si>
    <t>05325740602</t>
  </si>
  <si>
    <t>YURDUNUSEVEN</t>
  </si>
  <si>
    <t>05422527355</t>
  </si>
  <si>
    <t>ÇELEBİ</t>
  </si>
  <si>
    <t>05325003898</t>
  </si>
  <si>
    <t>ÇİLEZ</t>
  </si>
  <si>
    <t>05323964860</t>
  </si>
  <si>
    <t>KARAHOCAGİL</t>
  </si>
  <si>
    <t>Mustafa Levent</t>
  </si>
  <si>
    <t>05323524204</t>
  </si>
  <si>
    <t>05311051515</t>
  </si>
  <si>
    <t>Barış</t>
  </si>
  <si>
    <t>05336440202</t>
  </si>
  <si>
    <t>Asuman</t>
  </si>
  <si>
    <t>05332910322</t>
  </si>
  <si>
    <t>POLAT DÜZGÜN</t>
  </si>
  <si>
    <t>Arife</t>
  </si>
  <si>
    <t>05347794504</t>
  </si>
  <si>
    <t>05437474040</t>
  </si>
  <si>
    <t>YEGİN</t>
  </si>
  <si>
    <t>05322611160</t>
  </si>
  <si>
    <t>Zeynep</t>
  </si>
  <si>
    <t>05320101806</t>
  </si>
  <si>
    <t>Kemal</t>
  </si>
  <si>
    <t>05323477142</t>
  </si>
  <si>
    <t>Ertunç Erkan</t>
  </si>
  <si>
    <t>05412128909</t>
  </si>
  <si>
    <t>ERİM</t>
  </si>
  <si>
    <t>Bekir Kuvvet</t>
  </si>
  <si>
    <t>05326123653</t>
  </si>
  <si>
    <t>POSACI</t>
  </si>
  <si>
    <t>Rıza</t>
  </si>
  <si>
    <t>05324079911</t>
  </si>
  <si>
    <t>05436860951</t>
  </si>
  <si>
    <t>Pakize Mutlu</t>
  </si>
  <si>
    <t>05322512160</t>
  </si>
  <si>
    <t>CANBEY</t>
  </si>
  <si>
    <t>05326515716</t>
  </si>
  <si>
    <t>Adil</t>
  </si>
  <si>
    <t>05334337465</t>
  </si>
  <si>
    <t>SUBAŞI</t>
  </si>
  <si>
    <t>Yavuz</t>
  </si>
  <si>
    <t>05333888460</t>
  </si>
  <si>
    <t>UYGUR</t>
  </si>
  <si>
    <t>Belgin</t>
  </si>
  <si>
    <t>05537481044</t>
  </si>
  <si>
    <t>Ziver</t>
  </si>
  <si>
    <t>05323141973</t>
  </si>
  <si>
    <t>BATTAL</t>
  </si>
  <si>
    <t>Fetani</t>
  </si>
  <si>
    <t>05305146969</t>
  </si>
  <si>
    <t>YAĞCI</t>
  </si>
  <si>
    <t>05303401111</t>
  </si>
  <si>
    <t>BERDİBEK</t>
  </si>
  <si>
    <t>Feyzi</t>
  </si>
  <si>
    <t>05322136241</t>
  </si>
  <si>
    <t>KİLER</t>
  </si>
  <si>
    <t>Vahit</t>
  </si>
  <si>
    <t>05321131313</t>
  </si>
  <si>
    <t>TAŞAR</t>
  </si>
  <si>
    <t>05337155378</t>
  </si>
  <si>
    <t>Arzu</t>
  </si>
  <si>
    <t>05347992110</t>
  </si>
  <si>
    <t>UĞUR</t>
  </si>
  <si>
    <t>05324736323</t>
  </si>
  <si>
    <t>ESGİN</t>
  </si>
  <si>
    <t>05325927991</t>
  </si>
  <si>
    <t>Zafer</t>
  </si>
  <si>
    <t>05324343464</t>
  </si>
  <si>
    <t>05325498101</t>
  </si>
  <si>
    <t>ÖDÜNÇ</t>
  </si>
  <si>
    <t>Atilla</t>
  </si>
  <si>
    <t>05322410896</t>
  </si>
  <si>
    <t>ÖZEN</t>
  </si>
  <si>
    <t>Refik</t>
  </si>
  <si>
    <t>05324161924</t>
  </si>
  <si>
    <t>YILMAZ GÜREL</t>
  </si>
  <si>
    <t>Vildan</t>
  </si>
  <si>
    <t>05338106338</t>
  </si>
  <si>
    <t>İSKENDEROĞLU</t>
  </si>
  <si>
    <t>05444452074</t>
  </si>
  <si>
    <t>ÇİVİTCİOĞLU</t>
  </si>
  <si>
    <t>05322370040</t>
  </si>
  <si>
    <t>05055491480</t>
  </si>
  <si>
    <t>Oğuzhan</t>
  </si>
  <si>
    <t>05336448782</t>
  </si>
  <si>
    <t>ÖK</t>
  </si>
  <si>
    <t>Nilgün</t>
  </si>
  <si>
    <t>05331415030</t>
  </si>
  <si>
    <t>05306620453</t>
  </si>
  <si>
    <t>05065332121</t>
  </si>
  <si>
    <t>ERONAT</t>
  </si>
  <si>
    <t>Oya</t>
  </si>
  <si>
    <t>05063332605</t>
  </si>
  <si>
    <t>Fahri</t>
  </si>
  <si>
    <t>05323121403</t>
  </si>
  <si>
    <t>AKSAL</t>
  </si>
  <si>
    <t>05326686804</t>
  </si>
  <si>
    <t>AĞAR</t>
  </si>
  <si>
    <t>Zülfü Tolga</t>
  </si>
  <si>
    <t>05332362323</t>
  </si>
  <si>
    <t>BALIK</t>
  </si>
  <si>
    <t>Sermin</t>
  </si>
  <si>
    <t>05324149770</t>
  </si>
  <si>
    <t>DEMİRBAĞ</t>
  </si>
  <si>
    <t>Zülfü</t>
  </si>
  <si>
    <t>05057772302</t>
  </si>
  <si>
    <t>05327727338</t>
  </si>
  <si>
    <t>05055050040</t>
  </si>
  <si>
    <t>ALTINOK</t>
  </si>
  <si>
    <t>Selami</t>
  </si>
  <si>
    <t>05054665021</t>
  </si>
  <si>
    <t>BAKBAK</t>
  </si>
  <si>
    <t>Derya</t>
  </si>
  <si>
    <t>05327302132</t>
  </si>
  <si>
    <t>KİRAZOĞLU</t>
  </si>
  <si>
    <t>Mehmet Sait</t>
  </si>
  <si>
    <t>05373979617</t>
  </si>
  <si>
    <t>05333322261</t>
  </si>
  <si>
    <t>YÜKSEL</t>
  </si>
  <si>
    <t>Müslüm</t>
  </si>
  <si>
    <t>05331372727</t>
  </si>
  <si>
    <t>Kadir</t>
  </si>
  <si>
    <t>05322015620</t>
  </si>
  <si>
    <t>05305812929</t>
  </si>
  <si>
    <t>HAKKARİ</t>
  </si>
  <si>
    <t>DİNÇ</t>
  </si>
  <si>
    <t>Husret</t>
  </si>
  <si>
    <t>05322871879</t>
  </si>
  <si>
    <t>ÖZEL</t>
  </si>
  <si>
    <t>05336686228</t>
  </si>
  <si>
    <t>ÖZGÜRSOY ÇELİK</t>
  </si>
  <si>
    <t>Sabahat</t>
  </si>
  <si>
    <t>05333744252</t>
  </si>
  <si>
    <t>05333999300</t>
  </si>
  <si>
    <t>YAYMAN</t>
  </si>
  <si>
    <t>05325858008</t>
  </si>
  <si>
    <t>GÖKGÖZ</t>
  </si>
  <si>
    <t>05323260947</t>
  </si>
  <si>
    <t>05057773222</t>
  </si>
  <si>
    <t>ARINÇ</t>
  </si>
  <si>
    <t>Ahmet Mücahit</t>
  </si>
  <si>
    <t>05302924545</t>
  </si>
  <si>
    <t>Emine Sare</t>
  </si>
  <si>
    <t>05337626502</t>
  </si>
  <si>
    <t>AYRIM</t>
  </si>
  <si>
    <t>05322343602</t>
  </si>
  <si>
    <t>DEDEGİL</t>
  </si>
  <si>
    <t>Alev</t>
  </si>
  <si>
    <t>05322410200</t>
  </si>
  <si>
    <t>05325737640</t>
  </si>
  <si>
    <t>DENİZOLGUN</t>
  </si>
  <si>
    <t>Fatih Süleyman</t>
  </si>
  <si>
    <t>05057778535</t>
  </si>
  <si>
    <t>DURGUT</t>
  </si>
  <si>
    <t>Müşerref Pervin Tuba</t>
  </si>
  <si>
    <t>05311611917</t>
  </si>
  <si>
    <t>GÜLER</t>
  </si>
  <si>
    <t>05324476861</t>
  </si>
  <si>
    <t>KADAK</t>
  </si>
  <si>
    <t>Rümeysa</t>
  </si>
  <si>
    <t>05065879191</t>
  </si>
  <si>
    <t>KALSIN</t>
  </si>
  <si>
    <t>05332767272</t>
  </si>
  <si>
    <t>05334195956</t>
  </si>
  <si>
    <t>05321735050</t>
  </si>
  <si>
    <t>ÖZSOY</t>
  </si>
  <si>
    <t>Eyüp</t>
  </si>
  <si>
    <t>05309306060</t>
  </si>
  <si>
    <t>İffet</t>
  </si>
  <si>
    <t>05522353372</t>
  </si>
  <si>
    <t>05323753434</t>
  </si>
  <si>
    <t>SIRAKAYA</t>
  </si>
  <si>
    <t>05433404040</t>
  </si>
  <si>
    <t>ŞATIROĞLU</t>
  </si>
  <si>
    <t>05324557733</t>
  </si>
  <si>
    <t>BEKLE</t>
  </si>
  <si>
    <t>05380373877</t>
  </si>
  <si>
    <t>KIRKPINAR</t>
  </si>
  <si>
    <t>Yaşar</t>
  </si>
  <si>
    <t>05324067321</t>
  </si>
  <si>
    <t>NASIR</t>
  </si>
  <si>
    <t>05322656043</t>
  </si>
  <si>
    <t>ÖZALAN</t>
  </si>
  <si>
    <t>05063337776</t>
  </si>
  <si>
    <t>ÖÇAL</t>
  </si>
  <si>
    <t>Habibe</t>
  </si>
  <si>
    <t>05063330246</t>
  </si>
  <si>
    <t>05324037204</t>
  </si>
  <si>
    <t>SEZAL</t>
  </si>
  <si>
    <t>Mehmet Cihat</t>
  </si>
  <si>
    <t>05323332212</t>
  </si>
  <si>
    <t>05301047564</t>
  </si>
  <si>
    <t>GÜNEŞ</t>
  </si>
  <si>
    <t>Niyazi</t>
  </si>
  <si>
    <t>05327151010</t>
  </si>
  <si>
    <t>Cumhur</t>
  </si>
  <si>
    <t>05063337800</t>
  </si>
  <si>
    <t>ESER</t>
  </si>
  <si>
    <t>Selman Oğuzhan</t>
  </si>
  <si>
    <t>05458802233</t>
  </si>
  <si>
    <t>Yunus</t>
  </si>
  <si>
    <t>05066267163</t>
  </si>
  <si>
    <t>KENDİRLİ</t>
  </si>
  <si>
    <t>05322725922</t>
  </si>
  <si>
    <t>DAL</t>
  </si>
  <si>
    <t>Ahmet Salih</t>
  </si>
  <si>
    <t>05356927976</t>
  </si>
  <si>
    <t>ZEYBEK</t>
  </si>
  <si>
    <t>05324135489</t>
  </si>
  <si>
    <t>05332933993</t>
  </si>
  <si>
    <t>05324644430</t>
  </si>
  <si>
    <t>ÖZBOYACI</t>
  </si>
  <si>
    <t>Selman</t>
  </si>
  <si>
    <t>05339638950</t>
  </si>
  <si>
    <t>SAMANCI</t>
  </si>
  <si>
    <t>Gülay</t>
  </si>
  <si>
    <t>05063334282</t>
  </si>
  <si>
    <t>ÇETİN ERENLER</t>
  </si>
  <si>
    <t>05325886454</t>
  </si>
  <si>
    <t>05322713677</t>
  </si>
  <si>
    <t>KAHTALI</t>
  </si>
  <si>
    <t>05322043711</t>
  </si>
  <si>
    <t>KAPLAN KIVIRCIK</t>
  </si>
  <si>
    <t>Semra</t>
  </si>
  <si>
    <t>05303337353</t>
  </si>
  <si>
    <t>05324743934</t>
  </si>
  <si>
    <t>DEMİRKAYA</t>
  </si>
  <si>
    <t>05322662170</t>
  </si>
  <si>
    <t>DİNÇEL</t>
  </si>
  <si>
    <t>Şeyhmus</t>
  </si>
  <si>
    <t>05336494108</t>
  </si>
  <si>
    <t>05309577272</t>
  </si>
  <si>
    <t>GÜL YILMAZ</t>
  </si>
  <si>
    <t>05307463333</t>
  </si>
  <si>
    <t>Mehmet Yavuz</t>
  </si>
  <si>
    <t>05327310645</t>
  </si>
  <si>
    <t>EROL GÖKCAN</t>
  </si>
  <si>
    <t>Yelda</t>
  </si>
  <si>
    <t>05552652985</t>
  </si>
  <si>
    <t>MENEKŞE</t>
  </si>
  <si>
    <t>Yücel</t>
  </si>
  <si>
    <t>05324225533</t>
  </si>
  <si>
    <t>ERGUN</t>
  </si>
  <si>
    <t>05322669281</t>
  </si>
  <si>
    <t>GÜLTEKİN</t>
  </si>
  <si>
    <t>05332324971</t>
  </si>
  <si>
    <t>YEDİYILDIZ</t>
  </si>
  <si>
    <t>Şenel</t>
  </si>
  <si>
    <t>05322173768</t>
  </si>
  <si>
    <t>05325210807</t>
  </si>
  <si>
    <t>Muhammed</t>
  </si>
  <si>
    <t>05327255604</t>
  </si>
  <si>
    <t>ERDOĞAN ATABEK</t>
  </si>
  <si>
    <t>05300672054</t>
  </si>
  <si>
    <t>SOFUOĞLU</t>
  </si>
  <si>
    <t>Kenan</t>
  </si>
  <si>
    <t>05454545454</t>
  </si>
  <si>
    <t>Yusuf Ziya</t>
  </si>
  <si>
    <t>05337685555</t>
  </si>
  <si>
    <t>ÖREN</t>
  </si>
  <si>
    <t>05426445664</t>
  </si>
  <si>
    <t>Semiha</t>
  </si>
  <si>
    <t>05323442166</t>
  </si>
  <si>
    <t>AÇANAL</t>
  </si>
  <si>
    <t>Zemzem Gülender</t>
  </si>
  <si>
    <t>05063330063</t>
  </si>
  <si>
    <t>AKAY</t>
  </si>
  <si>
    <t>05322636197</t>
  </si>
  <si>
    <t>05309176363</t>
  </si>
  <si>
    <t>ÖZŞAVLI</t>
  </si>
  <si>
    <t>05325038477</t>
  </si>
  <si>
    <t>ŞIRNAK</t>
  </si>
  <si>
    <t>BİRLİK</t>
  </si>
  <si>
    <t>Rizgin</t>
  </si>
  <si>
    <t>05326765795</t>
  </si>
  <si>
    <t>KONCAGÜL</t>
  </si>
  <si>
    <t>05054865560</t>
  </si>
  <si>
    <t>05323659434</t>
  </si>
  <si>
    <t>05320106060</t>
  </si>
  <si>
    <t>Özlem</t>
  </si>
  <si>
    <t>05323038929</t>
  </si>
  <si>
    <t>AYVAZOĞLU</t>
  </si>
  <si>
    <t>Bahar</t>
  </si>
  <si>
    <t>05055408748</t>
  </si>
  <si>
    <t>05067962522</t>
  </si>
  <si>
    <t>ARVAS</t>
  </si>
  <si>
    <t>Abdulahat</t>
  </si>
  <si>
    <t>05323328762</t>
  </si>
  <si>
    <t>GÜLAÇAR</t>
  </si>
  <si>
    <t>Osman Nuri</t>
  </si>
  <si>
    <t>05324458565</t>
  </si>
  <si>
    <t>KARTAL</t>
  </si>
  <si>
    <t>İrfan</t>
  </si>
  <si>
    <t>05322314178</t>
  </si>
  <si>
    <t>AKYOL</t>
  </si>
  <si>
    <t>Meliha</t>
  </si>
  <si>
    <t>05336537399</t>
  </si>
  <si>
    <t>BÜYÜKGÜMÜŞ</t>
  </si>
  <si>
    <t>05326120958</t>
  </si>
  <si>
    <t>ÇOLAKOĞLU</t>
  </si>
  <si>
    <t>05333693477</t>
  </si>
  <si>
    <t>TÜRKMEN</t>
  </si>
  <si>
    <t>Polat</t>
  </si>
  <si>
    <t>05323211936</t>
  </si>
  <si>
    <t>UÇAR</t>
  </si>
  <si>
    <t>Hamdi</t>
  </si>
  <si>
    <t>05304166767</t>
  </si>
  <si>
    <t>ADI</t>
  </si>
  <si>
    <t>FORM DURUMU</t>
  </si>
  <si>
    <t>TELEFON</t>
  </si>
  <si>
    <t>Milli İstihbarat Teşkilatı Başkanlığı</t>
  </si>
  <si>
    <t>İletişim Başkanlığı</t>
  </si>
  <si>
    <t>Savunma Sanayi Başkanlığı</t>
  </si>
  <si>
    <t>Strateji ve Bütçe Başkanlığı</t>
  </si>
  <si>
    <t>Milli Saraylar İdaresi Başkanlığı</t>
  </si>
  <si>
    <t>Devlet Arşivleri Başkanlığı</t>
  </si>
  <si>
    <t>Nükleer Düzenleme Kurumu</t>
  </si>
  <si>
    <t>Maden ve Petrol İşleri Genel Müdürlüğü</t>
  </si>
  <si>
    <t>ULAŞTIRMA VE ALTYAPI BAKANLIĞI</t>
  </si>
  <si>
    <t>AİLE, ÇALIŞMA VE SOSYAL HİZMETLER BAKANLIĞI</t>
  </si>
  <si>
    <t>TARIM VE ORMAN BAKANLIĞI</t>
  </si>
  <si>
    <t>SANAYİ VE TEKNOLOJİ BAKANLIĞI</t>
  </si>
  <si>
    <t>Türk Standardları Enstitüsü</t>
  </si>
  <si>
    <t>Yükseköğretim Kalite Kurulu</t>
  </si>
  <si>
    <t>Avrupa Birliği Başkanlığı</t>
  </si>
  <si>
    <t>TİCARET BAKANLIĞI</t>
  </si>
  <si>
    <t>Helal Akreditasyon Kurumu</t>
  </si>
  <si>
    <t>HAZİNE VE MALİYE BAKANLIĞI</t>
  </si>
  <si>
    <t>Kapadokya Alan Başkanlığı</t>
  </si>
  <si>
    <t>Üniversiteler</t>
  </si>
  <si>
    <t>Türkiye Enerji, Nükleer ve Maden Araştırma Kurumu</t>
  </si>
  <si>
    <t>Türkiye Uzay Ajansı</t>
  </si>
  <si>
    <t>Sigortacılık ve Özel Emeklilik Düzenleme ve Denetleme Kurumu</t>
  </si>
  <si>
    <t>AKKAL</t>
  </si>
  <si>
    <t>VURAL ÇOKAL</t>
  </si>
  <si>
    <t>Tuba</t>
  </si>
  <si>
    <t xml:space="preserve">Halil ERGEN Bey "Önemli" notu düşmüş </t>
  </si>
  <si>
    <t>Bülent TURAN Bey bu konuda konuşma verilmesini istedi</t>
  </si>
  <si>
    <t>05527400707</t>
  </si>
  <si>
    <t>05557516345</t>
  </si>
  <si>
    <t>Siyaset Bilimci</t>
  </si>
  <si>
    <t>Yönetici - İş Kadını</t>
  </si>
  <si>
    <t>Emekli Müftü</t>
  </si>
  <si>
    <t>Siyasal Bilgiler - Tpao Gen.Md.Yrd.</t>
  </si>
  <si>
    <t>İktisatçı</t>
  </si>
  <si>
    <t>İktisatçı/İş Adamı</t>
  </si>
  <si>
    <t>Harita Kadastro Yüksek Mühenddis</t>
  </si>
  <si>
    <t>Ziraat Mühendisi</t>
  </si>
  <si>
    <t>İnşaat Mühendisi</t>
  </si>
  <si>
    <t>Emekli / İnşaat Mühendisi</t>
  </si>
  <si>
    <t>Diplomat / Dışişleri Bakan Yrd.</t>
  </si>
  <si>
    <t>Sanayici - İş Adamı</t>
  </si>
  <si>
    <t>Kimya Mühendisi</t>
  </si>
  <si>
    <t>Gemi Ve Makina Yüksek Mühendisi</t>
  </si>
  <si>
    <t>Emekli Vali-Emn. Gen.Md</t>
  </si>
  <si>
    <t>İletişim Fak./ Bürokrat/Medya</t>
  </si>
  <si>
    <t>Hakim /Savcı</t>
  </si>
  <si>
    <t>Serbest/ Özel/Öğretmen Sosyal Bilg</t>
  </si>
  <si>
    <t>Doktor/Öğretim Üyesi</t>
  </si>
  <si>
    <t>İnşaat Yüksek Müh.</t>
  </si>
  <si>
    <t>Teknik Direktör/Milli Futbolcu</t>
  </si>
  <si>
    <t>Harita Müh.  Öğrenci</t>
  </si>
  <si>
    <t>Esnaf</t>
  </si>
  <si>
    <t>Orman Yüksek Mühendisi</t>
  </si>
  <si>
    <t>İktisatcı - İş Adamı - Yönetici</t>
  </si>
  <si>
    <t>Emekli</t>
  </si>
  <si>
    <t>Yönetici - Kamu- İşletme</t>
  </si>
  <si>
    <t>Makine Mühendisi</t>
  </si>
  <si>
    <t>Harita Yüksek Mühendisi</t>
  </si>
  <si>
    <t>Beden Eğitimi Öğretmeni/Tarım</t>
  </si>
  <si>
    <t>İdareci/İlahiyat</t>
  </si>
  <si>
    <t>Bilgisayar Mühendisi - Akademisyen</t>
  </si>
  <si>
    <t>Bankacı</t>
  </si>
  <si>
    <t>Ekonomi Dr / İktisatçı</t>
  </si>
  <si>
    <t>Öğretmen (İngilizce)</t>
  </si>
  <si>
    <t>İşletmeci - Yönetici</t>
  </si>
  <si>
    <t>İletişimci - Metin Yazarı/ Sos.Pol.Uzmanı</t>
  </si>
  <si>
    <t>İngilizce Öğretmeni</t>
  </si>
  <si>
    <t>Öğretmen / Kyk Müdür/İlahiyat</t>
  </si>
  <si>
    <t>Akademisyen - Öğretim Üyesi</t>
  </si>
  <si>
    <t>Gıda Mühendis</t>
  </si>
  <si>
    <t>İş Adamı/Gazeteci</t>
  </si>
  <si>
    <t>Profesyonel Yönetici/Edebiyat</t>
  </si>
  <si>
    <t>Akademisyen - Ekonomist</t>
  </si>
  <si>
    <t>Akademisyen - Yönetici</t>
  </si>
  <si>
    <t>Kamu Yönetimi Ve Siyaset Bilimci</t>
  </si>
  <si>
    <t>Serbest/ Özel</t>
  </si>
  <si>
    <t>Serbest/ Özel / İktisat</t>
  </si>
  <si>
    <t>İş Adamı/İktisat</t>
  </si>
  <si>
    <t>Gazeteci/  Yazar</t>
  </si>
  <si>
    <t>Yönetici  - Kamu -Eğitimci</t>
  </si>
  <si>
    <t>Serbest Muhasebeci</t>
  </si>
  <si>
    <t>Serbest Meslek</t>
  </si>
  <si>
    <t>İktisatcı</t>
  </si>
  <si>
    <t>İktisatçı - Bürokrat</t>
  </si>
  <si>
    <t>Uluslararası İlişkiler Uzmanı</t>
  </si>
  <si>
    <t>Makina Yüksek Müh. Tcdd Genel Müd.</t>
  </si>
  <si>
    <t>Mimar - Öğretim Üyesi</t>
  </si>
  <si>
    <t>Akademisyen - Yazar</t>
  </si>
  <si>
    <t>Avukat - Arabulucu</t>
  </si>
  <si>
    <t>Öğretmen/Eğitimci</t>
  </si>
  <si>
    <t>İş Kadını/ Fizikçi</t>
  </si>
  <si>
    <t>Matematiksel İktisatçı</t>
  </si>
  <si>
    <t>İnşaat Yüksek Mühendisi - Müteahhit</t>
  </si>
  <si>
    <t>Matematik/Çiftçi/İş Adamı</t>
  </si>
  <si>
    <t>Müteahhit - İktisatçı</t>
  </si>
  <si>
    <t>Tarihci</t>
  </si>
  <si>
    <t>İnşaat Teknikeri</t>
  </si>
  <si>
    <t>Sosyolog</t>
  </si>
  <si>
    <t>GrupYön.Kur.Üyesi</t>
  </si>
  <si>
    <t>Gen.Bşk.Yrd.</t>
  </si>
  <si>
    <t>MYK</t>
  </si>
  <si>
    <t>Bütçe 9. Madde</t>
  </si>
  <si>
    <t>MDK</t>
  </si>
  <si>
    <t>Bütçe 8. Madde</t>
  </si>
  <si>
    <t>Ceza İnfaz Kurumları ile Tutukevleri İş Yurtları Kurumu, Türkiye Adalet Akademisi Başkanlığı</t>
  </si>
  <si>
    <t>IV.TUR ŞAHIS</t>
  </si>
  <si>
    <t>VIII. TUR ŞAHIS</t>
  </si>
  <si>
    <t>VI.TUR ŞAHIS</t>
  </si>
  <si>
    <t>VI. TUR ŞAHIS</t>
  </si>
  <si>
    <t>IV. TUR ŞAHIS</t>
  </si>
  <si>
    <t>PİDHK</t>
  </si>
  <si>
    <t>GrupBaşkanı</t>
  </si>
  <si>
    <t>Bütçe Tümü Kapanış Grup</t>
  </si>
  <si>
    <t>Bütçenin Tümü Kapanış Grup</t>
  </si>
  <si>
    <t>Kom.Bşk.Yd.</t>
  </si>
  <si>
    <t>KOM.BŞK.</t>
  </si>
  <si>
    <t xml:space="preserve">Bilgi Teknolojileri ve İletişim Kurumu </t>
  </si>
  <si>
    <t xml:space="preserve">Türkiye Uzay Ajansı </t>
  </si>
  <si>
    <t>MKYK</t>
  </si>
  <si>
    <t>Bütçe 6. Madde</t>
  </si>
  <si>
    <t>Bütçe 11. Madde</t>
  </si>
  <si>
    <t>Bütçe 10. Madde</t>
  </si>
  <si>
    <t>Türkiye Atom Enerjisi Kurumu</t>
  </si>
  <si>
    <t>II. TUR ŞAHIS</t>
  </si>
  <si>
    <t>Ulusal Bor Araştırma Enstitüsü</t>
  </si>
  <si>
    <t xml:space="preserve">Karayolları Genel Müdürlüğü </t>
  </si>
  <si>
    <t>Türkiye İnsan Hakları ve Eşitlik Kurumu, Kişisel Verileri Koruma Kurumu</t>
  </si>
  <si>
    <t>MKYK-YD</t>
  </si>
  <si>
    <t xml:space="preserve">MİLLİ EĞİTİM BAKANLIĞI </t>
  </si>
  <si>
    <t>Kesin Hesap 5. Madde</t>
  </si>
  <si>
    <t>Kesin Hesap 3. Madde</t>
  </si>
  <si>
    <t>BaşkanlıkDivanı</t>
  </si>
  <si>
    <t>Bütçe 14. Madde</t>
  </si>
  <si>
    <t>Bütçe 12. Madde</t>
  </si>
  <si>
    <t xml:space="preserve">Türkiye Sağlık Enstitüleri Başkanlığı </t>
  </si>
  <si>
    <t>PİDHK-YD</t>
  </si>
  <si>
    <t>Bütçe 5. Madde</t>
  </si>
  <si>
    <t>Bütçe 13. Madde</t>
  </si>
  <si>
    <t>VIII.TUR ŞAHIS</t>
  </si>
  <si>
    <t>GrupBaşkanVek.</t>
  </si>
  <si>
    <t>Kesin Hesap 4. Madde</t>
  </si>
  <si>
    <t>II.TUR ŞAHIS</t>
  </si>
  <si>
    <t>III. TUR ŞAHIS</t>
  </si>
  <si>
    <t>Bütçe 16. Madde</t>
  </si>
  <si>
    <t>Bütçe 4. Madde</t>
  </si>
  <si>
    <t xml:space="preserve">Yurtdışı Türkler ve Akraba Topluluklar Başkanlığı </t>
  </si>
  <si>
    <t>V.TUR ŞAHIS</t>
  </si>
  <si>
    <t>Kamu Gözetimi, Muhasebe ve Denetim Standartları Kurumu, Türkiye İstatistik Kurumu</t>
  </si>
  <si>
    <t>TAŞKESENLİOĞLU BAN</t>
  </si>
  <si>
    <t>GrupDenetçisi</t>
  </si>
  <si>
    <t xml:space="preserve">Türk Akreditasyon Kurumu </t>
  </si>
  <si>
    <t>Türkiye Bilimsel ve Teknolojik Araştırma Kurumu, Türkiye Bilimler Akademisi</t>
  </si>
  <si>
    <t>Türkiye Bilimler Akademisi Başkanlığı</t>
  </si>
  <si>
    <t>Avrupa Birliği Başkanlığı,Türk Akreditasyon Kurumu</t>
  </si>
  <si>
    <t>Nejat</t>
  </si>
  <si>
    <t>GrpDisiplinKur.Üyesi</t>
  </si>
  <si>
    <t>Jandarma Genel Komutanlığı, Sahil Güvenlik Komutanlığı</t>
  </si>
  <si>
    <t>MDK-YD</t>
  </si>
  <si>
    <t>VII. TUR ŞAHIS</t>
  </si>
  <si>
    <t>Kesin Hesap 2. Madde</t>
  </si>
  <si>
    <t>TBMMBaşk.</t>
  </si>
  <si>
    <t xml:space="preserve">Ölçme, Seçme ve Yerleştirme Merkezi Başkanlığı </t>
  </si>
  <si>
    <t>Bütçe Tümü Açılış Grup</t>
  </si>
  <si>
    <t xml:space="preserve">Vakıflar Genel Müdürlüğü </t>
  </si>
  <si>
    <t>Devlet Opera ve Balesi Genel Müdürlüğü,Devlet Tiyatroları Genel Müdürlüğü</t>
  </si>
  <si>
    <t>Bütçe Tümü Açılış Şahıs</t>
  </si>
  <si>
    <t>Bütçe 3. Madde</t>
  </si>
  <si>
    <t>GenelBaşkanVekili</t>
  </si>
  <si>
    <t>VII.TUR ŞAHIS</t>
  </si>
  <si>
    <t>Rekabet Kurumu, Helal Akreditasyon Kurumu</t>
  </si>
  <si>
    <t>Devlet Opera ve Balesi Genel Müdürlüğü, Devlet Tiyatroları Genel Müdürlüğü, Türkiye Yazma Eserler Kurumu Başkanlığı</t>
  </si>
  <si>
    <t>III.TUR ŞAHIS</t>
  </si>
  <si>
    <t xml:space="preserve">Tapu ve Kadastro Genel Müdürlüğü </t>
  </si>
  <si>
    <t>F. Alpay</t>
  </si>
  <si>
    <t xml:space="preserve">Yükseköğretim Kalite Kurulu </t>
  </si>
  <si>
    <t>I.TUR ŞAHIS</t>
  </si>
  <si>
    <t>Atatürk Kültür, Dil ve Tarih Yüksek Kurumu, Atatürk Araştırma Merkezi, Atatürk Kültür Merkezi</t>
  </si>
  <si>
    <t>V. TUR ŞAHIS</t>
  </si>
  <si>
    <t>Bütçe 7. Madde</t>
  </si>
  <si>
    <t xml:space="preserve">Türkiye Hudut ve Sahiller Sağlık Genel Müdürlüğü </t>
  </si>
  <si>
    <t>Nadir Toprak Elementleri Araştırma Enstitüsü</t>
  </si>
  <si>
    <t xml:space="preserve">Kamu Denetçiliği Kurumu </t>
  </si>
  <si>
    <t xml:space="preserve">ÇEVRE VE ŞEHİRCİLİK BAKANLIĞI </t>
  </si>
  <si>
    <t>KOSGEB İdaresi Başkanlığı</t>
  </si>
  <si>
    <t>Devlet Personel Başkanlığı</t>
  </si>
  <si>
    <t>Üniversiteler (125 Bütçe)</t>
  </si>
  <si>
    <t>Diyanet İşleri Başkanlığı, İletişim Başkanlığı</t>
  </si>
  <si>
    <t>Bankacılık Düzenleme ve Denetleme Kurumu, Sermaye Piyasası Kurulu</t>
  </si>
  <si>
    <t>Kesin Hesap 6. Madde</t>
  </si>
  <si>
    <t>Milli Saraylar İdaresi Başkanlığı; Devlet Arşivleri Başkanlığı</t>
  </si>
  <si>
    <t>Türk Standardları Enstitüsü, Türk Patent ve Marka Kurumu</t>
  </si>
  <si>
    <t xml:space="preserve">Küçük ve Orta Ölçekli İşletmeleri Geliştirme ve Destekleme İdaresi Başkanlığı </t>
  </si>
  <si>
    <t xml:space="preserve">Türkiye Su Enstitüsü </t>
  </si>
  <si>
    <t xml:space="preserve">Kapadokya Alan Başkanlığı </t>
  </si>
  <si>
    <t xml:space="preserve">Türkiye İlaç ve Tıbbi Cihaz Kurumu </t>
  </si>
  <si>
    <t xml:space="preserve">Türk Standardları Enstitüsü </t>
  </si>
  <si>
    <t>Atatürk Kültür Merkezi, Atatürk Araştırma Merkezi</t>
  </si>
  <si>
    <t>Türk Dil Kurumu, Türk Tarih Kurumu</t>
  </si>
  <si>
    <t xml:space="preserve">Enerji Piyasası Düzenleme Kurumu </t>
  </si>
  <si>
    <t>KOD</t>
  </si>
  <si>
    <t>GRUBU</t>
  </si>
  <si>
    <t>2018 YILI (2019 BÜTÇESİ)</t>
  </si>
  <si>
    <t>2019 YILI (2020 BÜTÇESİ)</t>
  </si>
  <si>
    <t>2020 YILI (2021 BÜTÇESİ)</t>
  </si>
  <si>
    <t>05320681010</t>
  </si>
  <si>
    <t>05323891010</t>
  </si>
  <si>
    <t>05304348585</t>
  </si>
  <si>
    <t>05320139917</t>
  </si>
  <si>
    <t>05433433434</t>
  </si>
  <si>
    <t>05302197045</t>
  </si>
  <si>
    <t>05327777776</t>
  </si>
  <si>
    <t>05300911489</t>
  </si>
  <si>
    <t>05523200663</t>
  </si>
  <si>
    <t>05301166666</t>
  </si>
  <si>
    <t>Cep Numarası</t>
  </si>
  <si>
    <t>Grup Yön. Kur. Üyesi</t>
  </si>
  <si>
    <t>Gen. Bşk. Yrd.</t>
  </si>
  <si>
    <t>Grup Başkanı</t>
  </si>
  <si>
    <t>Kom. Bşk. Yd.</t>
  </si>
  <si>
    <t>KOM. BŞK.</t>
  </si>
  <si>
    <t>MKYK - YEDEK</t>
  </si>
  <si>
    <t>Başkanlık Divanı</t>
  </si>
  <si>
    <t>PİDHK - YEDEK</t>
  </si>
  <si>
    <t>Grup Başkan Vek.</t>
  </si>
  <si>
    <t>Grup Denetçisi</t>
  </si>
  <si>
    <t>Grp Disiplin Kur. Üyesi</t>
  </si>
  <si>
    <t>MDK - YEDEK</t>
  </si>
  <si>
    <t>TBMM Başk.</t>
  </si>
  <si>
    <t>Genel Başkan Vekili</t>
  </si>
  <si>
    <t>05320100707</t>
  </si>
  <si>
    <t>Adı</t>
  </si>
  <si>
    <t>MİLLETVEKİLLERİMİZİN TERCİH YAPIP YAPMAMA DURUMU</t>
  </si>
  <si>
    <t>TERCİH YAPMAYAN MİLLETVEKİLLERİMİZ</t>
  </si>
  <si>
    <t>ADI SOYADI</t>
  </si>
  <si>
    <t>Tamer DAĞLI</t>
  </si>
  <si>
    <t>Abdullah DOĞRU</t>
  </si>
  <si>
    <t>Ahmet ZENBİLCİ</t>
  </si>
  <si>
    <t>Muhammed Fatih TOPRAK</t>
  </si>
  <si>
    <t>İbrahim YURDUNUSEVEN</t>
  </si>
  <si>
    <t>Ekrem ÇELEBİ</t>
  </si>
  <si>
    <t>Hasan ÇİLEZ</t>
  </si>
  <si>
    <t>Mustafa Levent KARAHOCAGİL</t>
  </si>
  <si>
    <t>Nevzat CEYLAN</t>
  </si>
  <si>
    <t>Asuman ERDOĞAN</t>
  </si>
  <si>
    <t>Emrullah İŞLER</t>
  </si>
  <si>
    <t>Arife POLAT DÜZGÜN</t>
  </si>
  <si>
    <t>Orhan YEGİN</t>
  </si>
  <si>
    <t>Zeynep YILDIZ</t>
  </si>
  <si>
    <t>İbrahim AYDIN</t>
  </si>
  <si>
    <t>Kemal ÇELİK</t>
  </si>
  <si>
    <t>Mustafa KÖSE</t>
  </si>
  <si>
    <t>Atay USLU</t>
  </si>
  <si>
    <t>Ertunç Erkan BALTA</t>
  </si>
  <si>
    <t>Bekir Kuvvet ERİM</t>
  </si>
  <si>
    <t>Rıza POSACI</t>
  </si>
  <si>
    <t>Mustafa SAVAŞ</t>
  </si>
  <si>
    <t>Metin YAVUZ</t>
  </si>
  <si>
    <t>Pakize Mutlu AYDEMİR</t>
  </si>
  <si>
    <t>Mustafa CANBEY</t>
  </si>
  <si>
    <t>Adil ÇELİK</t>
  </si>
  <si>
    <t>Yavuz SUBAŞI</t>
  </si>
  <si>
    <t>Belgin UYGUR</t>
  </si>
  <si>
    <t>Ziver ÖZDEMİR</t>
  </si>
  <si>
    <t>Selim YAĞCI</t>
  </si>
  <si>
    <t>Cemal TAŞAR</t>
  </si>
  <si>
    <t>Arzu AYDIN</t>
  </si>
  <si>
    <t>Bayram ÖZÇELİK</t>
  </si>
  <si>
    <t>Yasin UĞUR</t>
  </si>
  <si>
    <t>Muhammet Müfit AYDIN</t>
  </si>
  <si>
    <t>Mustafa ESGİN</t>
  </si>
  <si>
    <t>Zafer IŞIK</t>
  </si>
  <si>
    <t>Osman MESTEN</t>
  </si>
  <si>
    <t>Atilla ÖDÜNÇ</t>
  </si>
  <si>
    <t>Refik ÖZEN</t>
  </si>
  <si>
    <t>Emine YAVUZ GÖZGEÇ</t>
  </si>
  <si>
    <t>Vildan YILMAZ GÜREL</t>
  </si>
  <si>
    <t>Jülide İSKENDEROĞLU</t>
  </si>
  <si>
    <t>Salim ÇİVİTCİOĞLU</t>
  </si>
  <si>
    <t>Erol KAVUNCU</t>
  </si>
  <si>
    <t>Oğuzhan KAYA</t>
  </si>
  <si>
    <t>Nilgün ÖK</t>
  </si>
  <si>
    <t>Şahin TİN</t>
  </si>
  <si>
    <t>Ahmet YILDIZ</t>
  </si>
  <si>
    <t>Ebubekir BAL</t>
  </si>
  <si>
    <t>Oya ERONAT</t>
  </si>
  <si>
    <t>Fahri ÇAKIR</t>
  </si>
  <si>
    <t>Ayşe KEŞİR</t>
  </si>
  <si>
    <t>Fatma AKSAL</t>
  </si>
  <si>
    <t>Zülfü Tolga AĞAR</t>
  </si>
  <si>
    <t>Sermin BALIK</t>
  </si>
  <si>
    <t>Metin BULUT</t>
  </si>
  <si>
    <t>Burhan ÇAKIR</t>
  </si>
  <si>
    <t>Süleyman KARAMAN</t>
  </si>
  <si>
    <t>İbrahim AYDEMİR</t>
  </si>
  <si>
    <t>Zehra TAŞKESENLİOĞLU</t>
  </si>
  <si>
    <t>Emine Nur GÜNAY</t>
  </si>
  <si>
    <t>Derya BAKBAK</t>
  </si>
  <si>
    <t>Mehmet ERDOĞAN</t>
  </si>
  <si>
    <t>Mehmet Sait KİRAZOĞLU</t>
  </si>
  <si>
    <t>Ali ŞAHİN</t>
  </si>
  <si>
    <t>Ahmet UZER</t>
  </si>
  <si>
    <t>Müslüm YÜKSEL</t>
  </si>
  <si>
    <t>Kadir AYDIN</t>
  </si>
  <si>
    <t>Cemal ÖZTÜRK</t>
  </si>
  <si>
    <t>Sabri ÖZTÜRK</t>
  </si>
  <si>
    <t>Cihan PEKTAŞ</t>
  </si>
  <si>
    <t>Sabahat ÖZGÜRSOY ÇELİK</t>
  </si>
  <si>
    <t>Hüseyin ŞANVERDİ</t>
  </si>
  <si>
    <t>Hacı Bayram TÜRKOĞLU</t>
  </si>
  <si>
    <t>Hüseyin YAYMAN</t>
  </si>
  <si>
    <t>Ahmet Mücahit ARINÇ</t>
  </si>
  <si>
    <t>Mustafa ATAŞ</t>
  </si>
  <si>
    <t>Emine Sare AYDIN YILMAZ</t>
  </si>
  <si>
    <t>Şamil AYRIM</t>
  </si>
  <si>
    <t>Osman BOYRAZ</t>
  </si>
  <si>
    <t>Ahmet Hamdi ÇAMLI</t>
  </si>
  <si>
    <t>Ahmet Berat ÇONKAR</t>
  </si>
  <si>
    <t>Halis DALKILIÇ</t>
  </si>
  <si>
    <t>Mustafa DEMİR</t>
  </si>
  <si>
    <t>Fatih Süleyman DENİZOLGUN</t>
  </si>
  <si>
    <t>Abdullah GÜLER</t>
  </si>
  <si>
    <t>Rümeysa KADAK</t>
  </si>
  <si>
    <t>Ravza KAVAKCI KAN</t>
  </si>
  <si>
    <t>Erol KAYA</t>
  </si>
  <si>
    <t>Tülay KAYNARCA</t>
  </si>
  <si>
    <t>İffet POLAT</t>
  </si>
  <si>
    <t>Zafer SIRAKAYA</t>
  </si>
  <si>
    <t>Nevzat ŞATIROĞLU</t>
  </si>
  <si>
    <t>Hulusi ŞENTÜRK</t>
  </si>
  <si>
    <t>İsmet UÇMA</t>
  </si>
  <si>
    <t>Şirin ÜNAL</t>
  </si>
  <si>
    <t>Serap YAŞAR</t>
  </si>
  <si>
    <t>Cemal BEKLE</t>
  </si>
  <si>
    <t>Ceyda BÖLÜNMEZ ÇANKIRI</t>
  </si>
  <si>
    <t>Mahmut Atilla KAYA</t>
  </si>
  <si>
    <t>Yaşar KIRKPINAR</t>
  </si>
  <si>
    <t>Necip NASIR</t>
  </si>
  <si>
    <t>Fehmi Alpay ÖZALAN</t>
  </si>
  <si>
    <t>İmran KILIÇ</t>
  </si>
  <si>
    <t>Habibe ÖÇAL</t>
  </si>
  <si>
    <t>Ahmet ÖZDEMİR</t>
  </si>
  <si>
    <t>Niyazi GÜNEŞ</t>
  </si>
  <si>
    <t>Cumhur ÜNAL</t>
  </si>
  <si>
    <t>Selman Oğuzhan ESER</t>
  </si>
  <si>
    <t>Recep ŞEKER</t>
  </si>
  <si>
    <t>Ahmet ARSLAN</t>
  </si>
  <si>
    <t>Metin ÇELİK</t>
  </si>
  <si>
    <t>İsmail Emrah KARAYEL</t>
  </si>
  <si>
    <t>İsmail TAMER</t>
  </si>
  <si>
    <t>Selahattin MİNSOLMAZ</t>
  </si>
  <si>
    <t>Mustafa KENDİRLİ</t>
  </si>
  <si>
    <t>Ahmet Salih DAL</t>
  </si>
  <si>
    <t>Mustafa Hilmi DÜLGER</t>
  </si>
  <si>
    <t>Sami ÇAKIR</t>
  </si>
  <si>
    <t>Radiye Sezer KATIRCIOĞLU</t>
  </si>
  <si>
    <t>İlyas ŞEKER</t>
  </si>
  <si>
    <t>Emine ZEYBEK</t>
  </si>
  <si>
    <t>Orhan ERDEM</t>
  </si>
  <si>
    <t>Halil ETYEMEZ</t>
  </si>
  <si>
    <t>Selman ÖZBOYACI</t>
  </si>
  <si>
    <t>Hacı Ahmet ÖZDEMİR</t>
  </si>
  <si>
    <t>Gülay SAMANCI</t>
  </si>
  <si>
    <t>Ahmet SORGUN</t>
  </si>
  <si>
    <t>Leyla ŞAHİN USTA</t>
  </si>
  <si>
    <t>Ceyda ÇETİN ERENLER</t>
  </si>
  <si>
    <t>İshak GAZEL</t>
  </si>
  <si>
    <t>Ahmet TAN</t>
  </si>
  <si>
    <t>Hakan KAHTALI</t>
  </si>
  <si>
    <t>Bülent TÜFENKCİ</t>
  </si>
  <si>
    <t>Cengiz DEMİRKAYA</t>
  </si>
  <si>
    <t>Şeyhmus DİNÇEL</t>
  </si>
  <si>
    <t>Zeynep GÜL YILMAZ</t>
  </si>
  <si>
    <t>Hacı ÖZKAN</t>
  </si>
  <si>
    <t>Ali Cumhur TAŞKIN</t>
  </si>
  <si>
    <t>Mehmet Yavuz DEMİR</t>
  </si>
  <si>
    <t>Mehmet Emin ŞİMŞEK</t>
  </si>
  <si>
    <t>Mustafa AÇIKGÖZ</t>
  </si>
  <si>
    <t>Yücel MENEKŞE</t>
  </si>
  <si>
    <t>Yavuz ERGUN</t>
  </si>
  <si>
    <t>Selim GÜLTEKİN</t>
  </si>
  <si>
    <t>Metin GÜNDOĞDU</t>
  </si>
  <si>
    <t>Ergün TAŞCI</t>
  </si>
  <si>
    <t>Şenel YEDİYILDIZ</t>
  </si>
  <si>
    <t>Mücahit DURMUŞOĞLU</t>
  </si>
  <si>
    <t>İsmail KAYA</t>
  </si>
  <si>
    <t>Muhammed AVCI</t>
  </si>
  <si>
    <t>Çiğdem ERDOĞAN ATABEK</t>
  </si>
  <si>
    <t>Recep UNCUOĞLU</t>
  </si>
  <si>
    <t>Orhan KIRCALI</t>
  </si>
  <si>
    <t>Fuat KÖKTAŞ</t>
  </si>
  <si>
    <t>Osman ÖREN</t>
  </si>
  <si>
    <t>Nazım MAVİŞ</t>
  </si>
  <si>
    <t>Semiha EKİNCİ</t>
  </si>
  <si>
    <t>Mehmet Habib SOLUK</t>
  </si>
  <si>
    <t>Zemzem Gülender AÇANAL</t>
  </si>
  <si>
    <t>Ahmet AKAY</t>
  </si>
  <si>
    <t>Mehmet Ali CEVHERİ</t>
  </si>
  <si>
    <t>Halil ÖZŞAVLI</t>
  </si>
  <si>
    <t>Çiğdem KONCAGÜL</t>
  </si>
  <si>
    <t>Mustafa YEL</t>
  </si>
  <si>
    <t>Mustafa ARSLAN</t>
  </si>
  <si>
    <t>Yusuf BEYAZIT</t>
  </si>
  <si>
    <t>Bahar AYVAZOĞLU</t>
  </si>
  <si>
    <t>Salih CORA</t>
  </si>
  <si>
    <t>Adnan GÜNNAR</t>
  </si>
  <si>
    <t>İsmail GÜNEŞ</t>
  </si>
  <si>
    <t>Abdulahat ARVAS</t>
  </si>
  <si>
    <t>Meliha AKYOL</t>
  </si>
  <si>
    <t>Ahmet BÜYÜKGÜMÜŞ</t>
  </si>
  <si>
    <t>Ahmet ÇOLAKOĞLU</t>
  </si>
  <si>
    <t>Polat TÜRKMEN</t>
  </si>
  <si>
    <t>Hamdi UÇAR</t>
  </si>
  <si>
    <t>Tamer AKKAL</t>
  </si>
  <si>
    <t>Sendikacı/Çalışma Ekonomisti</t>
  </si>
  <si>
    <t>Çiftçi- Ticaret- İş Adamı</t>
  </si>
  <si>
    <t>Öğretim Üye - İnşaat Mühendisi</t>
  </si>
  <si>
    <t>Hukukçu</t>
  </si>
  <si>
    <t>Yönetici / Kamu / Vali</t>
  </si>
  <si>
    <t>Siyaset Bilimi Doçent</t>
  </si>
  <si>
    <t>İş Adamı/Medya</t>
  </si>
  <si>
    <t>İşletme Yönetimi</t>
  </si>
  <si>
    <t>İktisatçı- İş Adamı</t>
  </si>
  <si>
    <t>Öğretim Görevlisi/İlahiyat</t>
  </si>
  <si>
    <t>Ekonomist/ Bankacı</t>
  </si>
  <si>
    <t>Siyasetçi</t>
  </si>
  <si>
    <t>Siyasetçi-Bürokrat-Vali</t>
  </si>
  <si>
    <t>Müteahhit-Kamu Yönetim</t>
  </si>
  <si>
    <t>Avukat/Yönetici</t>
  </si>
  <si>
    <t>Sanayici</t>
  </si>
  <si>
    <t>Veteriner - Tarım Ekonomisi Uzmanı</t>
  </si>
  <si>
    <t>Vali</t>
  </si>
  <si>
    <t>Sanayici - İş Adamı/İktisat</t>
  </si>
  <si>
    <t>İş Adamı - İşletmeci - Sanayici</t>
  </si>
  <si>
    <t>Emekli/Belediye Başkanı</t>
  </si>
  <si>
    <t>Tüccar - Fabrika İşl/İlahiyat</t>
  </si>
  <si>
    <t>Eczacı - İktisatçı - İlahiyatçı</t>
  </si>
  <si>
    <t>Büyükelçi - Diplomat</t>
  </si>
  <si>
    <t>Yeminli Mali Müşavir</t>
  </si>
  <si>
    <t>Yönetici  - Kamu</t>
  </si>
  <si>
    <t>Eczacı - Halk Sağlığı Uzmanı</t>
  </si>
  <si>
    <t>Dış Ticaret</t>
  </si>
  <si>
    <t>Siyaset Bilimi / İnşaat Mühendisi</t>
  </si>
  <si>
    <t>Akademisyen - Siyasetci</t>
  </si>
  <si>
    <t>Peyzaj Mimarı</t>
  </si>
  <si>
    <t>Doktor/ Mühendis</t>
  </si>
  <si>
    <t>İşletme Mühendisi</t>
  </si>
  <si>
    <t>Basın - Yayın - Reklam Ve Organizasyon</t>
  </si>
  <si>
    <t>Yayıncı/İktisat/İlahiyat</t>
  </si>
  <si>
    <t>E.Hava Tümg.</t>
  </si>
  <si>
    <t>Yüksek Mühendis</t>
  </si>
  <si>
    <t>Vali - Siyasetci</t>
  </si>
  <si>
    <t>İş Adamı - İşletmeci</t>
  </si>
  <si>
    <t>Siyasetci/Akademisyen</t>
  </si>
  <si>
    <t>Gemi İnşa Ve Makine Mühendisi</t>
  </si>
  <si>
    <t>Veteriner/ Prof.Dr. Öğr.Üyesi</t>
  </si>
  <si>
    <t>Cumhuriyet Savcısı - Avukat</t>
  </si>
  <si>
    <t>Maliye - Muhasebe</t>
  </si>
  <si>
    <t>Elektrik - Elektronik Mühendisi</t>
  </si>
  <si>
    <t>İlahiyatcı</t>
  </si>
  <si>
    <t>Mülkiye İd.Amiri</t>
  </si>
  <si>
    <t>Hukukcu - Kamu Yöneticisi</t>
  </si>
  <si>
    <t>Ticaret - İş Adamı</t>
  </si>
  <si>
    <t>İktisatçı / Sanayici</t>
  </si>
  <si>
    <t>Mimar</t>
  </si>
  <si>
    <t>İktisatçı/Maden Yüksek Mühendis</t>
  </si>
  <si>
    <t>Emekli Bakanlık Müfettişi</t>
  </si>
  <si>
    <t>İş Kadını / Gazeteci</t>
  </si>
  <si>
    <t>Hukuk/İlahiyat/ Yönetici</t>
  </si>
  <si>
    <t>Milli Sporcu</t>
  </si>
  <si>
    <t>Kentsen Tasarımcı - Peyzaj Yüksek Mimarı</t>
  </si>
  <si>
    <t>Öğr.Gör. Öğretmen/Tarihçi</t>
  </si>
  <si>
    <t>Kamu Görevlisi - Mütercim</t>
  </si>
  <si>
    <t>Ziraatcı/Serbest Ticaret</t>
  </si>
  <si>
    <t>Hukuk Profesörü - Hukukçu</t>
  </si>
  <si>
    <t>Maden Mühendisi</t>
  </si>
  <si>
    <t>İmam - Hatip/İktisatçı</t>
  </si>
  <si>
    <t>Göz Doktoru</t>
  </si>
  <si>
    <t>F. Alpay ÖZALAN</t>
  </si>
  <si>
    <t>Zehra TAŞKESENLİOĞLU BAN</t>
  </si>
  <si>
    <t>Nejat KOÇER</t>
  </si>
  <si>
    <t>Emine Sare AYDIN</t>
  </si>
  <si>
    <t>KURUMADI</t>
  </si>
  <si>
    <t>EmineSareAYDIN</t>
  </si>
  <si>
    <t>SabahatÖZGÜRSOYÇELİK</t>
  </si>
  <si>
    <t>2018 (2019 yılı bütçesi)</t>
  </si>
  <si>
    <t>2019 (2020 yılı bütçesi)</t>
  </si>
  <si>
    <t>S.NO</t>
  </si>
  <si>
    <t>İktisat/Sanayici</t>
  </si>
  <si>
    <t>Maddelerde değerlendirilecek</t>
  </si>
  <si>
    <t>İktisat/İş adamı</t>
  </si>
  <si>
    <t>GAZİANTEP ERDOĞAN</t>
  </si>
  <si>
    <t>Hülya NERGİS</t>
  </si>
  <si>
    <t>Öznur ÇALIK</t>
  </si>
  <si>
    <t>Semra KAPLAN KIVIRCIK</t>
  </si>
  <si>
    <t>Mustafa YENEROĞLU</t>
  </si>
  <si>
    <t>ANTALYA VURAL ÇOKAL</t>
  </si>
  <si>
    <t>2018 ve 2019 YILARINDA BÜTÇELERDE KONUŞMAYANLAR</t>
  </si>
  <si>
    <t>S.N.</t>
  </si>
  <si>
    <t>TERCİH DURUMU</t>
  </si>
  <si>
    <t>GENEL KURULDA HİÇ KONUŞMA YAPMAYANLARIN TERCİH DURUMLARI</t>
  </si>
  <si>
    <t>K.MARAŞ</t>
  </si>
  <si>
    <t>2021 BÜTÇE TERCİH SAYISI VE  GEÇMİŞ YILLARDA KONUŞANLAR</t>
  </si>
  <si>
    <t>Mehmet Şükrü ERDİNÇ</t>
  </si>
  <si>
    <t>Jülide SARIEROĞLU</t>
  </si>
  <si>
    <t>Ahmet AYDIN</t>
  </si>
  <si>
    <t>İbrahim Halil FIRAT</t>
  </si>
  <si>
    <t>Yakup TAŞ</t>
  </si>
  <si>
    <t>Veysel EROĞLU</t>
  </si>
  <si>
    <t>Ali ÖZKAYA</t>
  </si>
  <si>
    <t>Cengiz AYDOĞDU</t>
  </si>
  <si>
    <t>İlknur İNCEÖZ</t>
  </si>
  <si>
    <t>Yalçın AKDOĞAN</t>
  </si>
  <si>
    <t>Ali İhsan ARSLAN</t>
  </si>
  <si>
    <t>Barış AYDIN</t>
  </si>
  <si>
    <t>Mehmet Naci BOSTANCI</t>
  </si>
  <si>
    <t>Lütfiye Selva ÇAM</t>
  </si>
  <si>
    <t>Fatih ŞAHİN</t>
  </si>
  <si>
    <t>Hacı TURAN</t>
  </si>
  <si>
    <t>Yıldırım Tuğrul TÜRKEŞ</t>
  </si>
  <si>
    <t>Sena Nur ÇELİK</t>
  </si>
  <si>
    <t>Orhan ATALAY</t>
  </si>
  <si>
    <t>Yılmaz TUNÇ</t>
  </si>
  <si>
    <t>Fetani BATTAL</t>
  </si>
  <si>
    <t>Feyzi BERDİBEK</t>
  </si>
  <si>
    <t>Cevdet YILMAZ</t>
  </si>
  <si>
    <t>Vahit KİLER</t>
  </si>
  <si>
    <t>Fehmi KÜPÇÜ</t>
  </si>
  <si>
    <t>Efkan ALA</t>
  </si>
  <si>
    <t>Hakan ÇAVUŞOĞLU</t>
  </si>
  <si>
    <t>Ahmet KILIÇ</t>
  </si>
  <si>
    <t>Bülent TURAN</t>
  </si>
  <si>
    <t>Muhammet Emin AKBAŞOĞLU</t>
  </si>
  <si>
    <t>Ahmet Sami CEYLAN</t>
  </si>
  <si>
    <t>Cahit ÖZKAN</t>
  </si>
  <si>
    <t>Mehmet Mehdi EKER</t>
  </si>
  <si>
    <t>Zülfü DEMİRBAĞ</t>
  </si>
  <si>
    <t>Recep AKDAĞ</t>
  </si>
  <si>
    <t>Selami ALTINOK</t>
  </si>
  <si>
    <t>Nabi AVCI</t>
  </si>
  <si>
    <t>Harun KARACAN</t>
  </si>
  <si>
    <t>Hacı Osman AKGÜL</t>
  </si>
  <si>
    <t>Husret DİNÇ</t>
  </si>
  <si>
    <t>Abdulkadir ÖZEL</t>
  </si>
  <si>
    <t>Süreyya Sadi BİLGİÇ</t>
  </si>
  <si>
    <t>Mehmet Uğur GÖKGÖZ</t>
  </si>
  <si>
    <t>Recep ÖZEL</t>
  </si>
  <si>
    <t>Aziz BABUŞCU</t>
  </si>
  <si>
    <t>Serkan BAYRAM</t>
  </si>
  <si>
    <t>Volkan BOZKIR</t>
  </si>
  <si>
    <t>Nurettin CANİKLİ</t>
  </si>
  <si>
    <t>Alev DEDEGİL</t>
  </si>
  <si>
    <t>Vedat DEMİRÖZ</t>
  </si>
  <si>
    <t>Müşerref Pervin Tuba DURGUT</t>
  </si>
  <si>
    <t>Canan KALSIN</t>
  </si>
  <si>
    <t>Erkan KANDEMİR</t>
  </si>
  <si>
    <t>Akif Çağatay KILIÇ</t>
  </si>
  <si>
    <t>Mehmet Doğan KUBAT</t>
  </si>
  <si>
    <t>Numan KURTULMUŞ</t>
  </si>
  <si>
    <t>Mehmet MUŞ</t>
  </si>
  <si>
    <t>Eyüp ÖZSOY</t>
  </si>
  <si>
    <t>Mihrimah Belma SATIR</t>
  </si>
  <si>
    <t>Fatma Betül SAYAN KAYA</t>
  </si>
  <si>
    <t>Hasan TURAN</t>
  </si>
  <si>
    <t>Hamza DAĞ</t>
  </si>
  <si>
    <t>Binali YILDIRIM</t>
  </si>
  <si>
    <t>Celalettin GÜVENÇ</t>
  </si>
  <si>
    <t>Mehmet Cihat SEZAL</t>
  </si>
  <si>
    <t>Mahir ÜNAL</t>
  </si>
  <si>
    <t>Yunus KILIÇ</t>
  </si>
  <si>
    <t>Hakkı KÖYLÜ</t>
  </si>
  <si>
    <t>Mustafa ELİTAŞ</t>
  </si>
  <si>
    <t>Mehmet ÖZHASEKİ</t>
  </si>
  <si>
    <t>Taner YILDIZ</t>
  </si>
  <si>
    <t>Ramazan CAN</t>
  </si>
  <si>
    <t>Fikri IŞIK</t>
  </si>
  <si>
    <t>Cemil YAMAN</t>
  </si>
  <si>
    <t>Mehmet Akif YILMAZ</t>
  </si>
  <si>
    <t>Abdullah AĞRALI</t>
  </si>
  <si>
    <t>Tahir AKYÜREK</t>
  </si>
  <si>
    <t>Ziya ALTUNYALDIZ</t>
  </si>
  <si>
    <t>Ahmet ÇAKIR</t>
  </si>
  <si>
    <t>Uğur AYDEMİR</t>
  </si>
  <si>
    <t>Murat BAYBATUR</t>
  </si>
  <si>
    <t>İsmail BİLEN</t>
  </si>
  <si>
    <t>Mehmet Ali ÖZKAN</t>
  </si>
  <si>
    <t>Yelda EROL GÖKCAN</t>
  </si>
  <si>
    <t>Osman Aşkın BAK</t>
  </si>
  <si>
    <t>Hayati YAZICI</t>
  </si>
  <si>
    <t>Kenan SOFUOĞLU</t>
  </si>
  <si>
    <t>Ali İhsan YAVUZ</t>
  </si>
  <si>
    <t>Ahmet DEMİRCAN</t>
  </si>
  <si>
    <t>Çiğdem KARAASLAN</t>
  </si>
  <si>
    <t>Yusuf Ziya YILMAZ</t>
  </si>
  <si>
    <t>İsmet YILMAZ</t>
  </si>
  <si>
    <t>Ahmet Eşref FAKIBABA</t>
  </si>
  <si>
    <t>Mehmet Kasım GÜLPINAR</t>
  </si>
  <si>
    <t>Halil ÖZCAN</t>
  </si>
  <si>
    <t>İbrahim Halil YILDIZ</t>
  </si>
  <si>
    <t>Rizgin BİRLİK</t>
  </si>
  <si>
    <t>Mustafa ŞENTOP</t>
  </si>
  <si>
    <t>Özlem ZENGİN</t>
  </si>
  <si>
    <t>Muhammet BALTA</t>
  </si>
  <si>
    <t>Mehmet ALTAY</t>
  </si>
  <si>
    <t>Osman Nuri GÜLAÇAR</t>
  </si>
  <si>
    <t>İrfan KARTAL</t>
  </si>
  <si>
    <t>Yusuf BAŞER</t>
  </si>
  <si>
    <t>Bekir BOZDAĞ</t>
  </si>
  <si>
    <t>Tuba VURAL ÇOKAL</t>
  </si>
  <si>
    <t>Abdullah Nejat KOÇER</t>
  </si>
  <si>
    <t>Sami DÜLGER</t>
  </si>
  <si>
    <t>Lütfi ELVAN</t>
  </si>
  <si>
    <t>Bingöl</t>
  </si>
  <si>
    <t>Başkan</t>
  </si>
  <si>
    <t>Gaziantep</t>
  </si>
  <si>
    <t>Sözcü</t>
  </si>
  <si>
    <t>İstanbul</t>
  </si>
  <si>
    <t>Katip</t>
  </si>
  <si>
    <t>Bursa</t>
  </si>
  <si>
    <t>Üye</t>
  </si>
  <si>
    <t>Denizli</t>
  </si>
  <si>
    <t>Düzce</t>
  </si>
  <si>
    <t>Erzurum</t>
  </si>
  <si>
    <t>Giresun</t>
  </si>
  <si>
    <t>İzmir</t>
  </si>
  <si>
    <t>Manisa</t>
  </si>
  <si>
    <t>Trabzon</t>
  </si>
  <si>
    <t>Aydın</t>
  </si>
  <si>
    <t>Uşak</t>
  </si>
  <si>
    <t>Ağrı</t>
  </si>
  <si>
    <t>Antalya</t>
  </si>
  <si>
    <t>MV KOD</t>
  </si>
  <si>
    <t>GÖREVİ</t>
  </si>
  <si>
    <t>PLAN VE BÜTÇE KOMİSYON ÜYELERİNİN TERCİHLERİ</t>
  </si>
  <si>
    <t xml:space="preserve">TERCİHİ </t>
  </si>
  <si>
    <t>Bankacılık Düzenleme Ve Denetleme Kurumu</t>
  </si>
  <si>
    <t>Tarım Ve Orman Bakanlığı</t>
  </si>
  <si>
    <t>Çevre Ve Şehircilik Bakanlığı</t>
  </si>
  <si>
    <t>Kültür Ve Turizm Bakanlığı</t>
  </si>
  <si>
    <t>Ceza Ve İnfaz Kurumları İle Tutukevleri İş Yurtları Kurumu</t>
  </si>
  <si>
    <t>Türkiye İnsan Hakları Ve Eşitlik Kurumu</t>
  </si>
  <si>
    <t>Tapu Ve Kadastro Genel Müdürlüğü</t>
  </si>
  <si>
    <t>Radyo Ve Televizyon Üst Kurulu</t>
  </si>
  <si>
    <t>Milli Savunma Bakanlığı</t>
  </si>
  <si>
    <t>Adalet Bakanlığı</t>
  </si>
  <si>
    <t>Enerji Ve Tabii Kaynaklar Bakanlığı</t>
  </si>
  <si>
    <t>Cumhurbaşkanlığı</t>
  </si>
  <si>
    <t>Hazine Ve Maliye Bakanlığı</t>
  </si>
  <si>
    <t>Gençlik Ve Spor Bakanlığı</t>
  </si>
  <si>
    <t>Dışişleri Bakanlığı</t>
  </si>
  <si>
    <t>Ölçme, Seçme Ve Yerleştirme Merkezi Başkanlığı</t>
  </si>
  <si>
    <t>Milli Eğitim Bakanlığı</t>
  </si>
  <si>
    <t>Türkiye İlaç Ve Tıbbi Cihaz Kurumu</t>
  </si>
  <si>
    <t>Aile, Çalışma Ve Sosyal Hizmetler Bakanlığı</t>
  </si>
  <si>
    <t>İçişleri Bakanlığı</t>
  </si>
  <si>
    <t>Türkiye Bilimsel Ve Teknolojik Araştırma Kurumu</t>
  </si>
  <si>
    <t>Bilgi Teknolojileri Ve İletişim Kurumu</t>
  </si>
  <si>
    <t>Ulaştırma Ve Altyapı Bakanlığı</t>
  </si>
  <si>
    <t>Yurtdışı Türkler Ve Akraba Topluluklar Başkanlığı</t>
  </si>
  <si>
    <t>Türk İşbirliği Ve Koordinasyon Ajansı Başkanlığı</t>
  </si>
  <si>
    <t>Maden Tetkik Ve Arama Genel Müdürlüğü</t>
  </si>
  <si>
    <t>Yargıtay</t>
  </si>
  <si>
    <t>Danıştay</t>
  </si>
  <si>
    <t>Kamu Gözetimi, Muhasebe Ve Denetim Standartları Kurumu</t>
  </si>
  <si>
    <t>Türkiye Enerji, Nükleer Ve Maden Araştırma Kurumu</t>
  </si>
  <si>
    <t>Maden Ve Petrol İşleri Genel Müdürlüğü</t>
  </si>
  <si>
    <t>Afet Ve Acil Durum Yönetimi Başkanlığı</t>
  </si>
  <si>
    <t>Gap Bölge Kalkınma İdaresi Başkanlığı</t>
  </si>
  <si>
    <t/>
  </si>
  <si>
    <t>Hakimler Ve Savcılar Kurulu</t>
  </si>
  <si>
    <t>Türkiye Büyük Millet Meclisi</t>
  </si>
  <si>
    <t>Küçük Ve Orta Ölçekli İşletmeleri Geliştirme Ve Destekleme İdaresi Başkanlığı</t>
  </si>
  <si>
    <t>Ticaret Bakanlığı</t>
  </si>
  <si>
    <t>Sanayi Ve Teknoloji Bakanlığı</t>
  </si>
  <si>
    <t>Strateji Ve Bütçe Başkanlığı</t>
  </si>
  <si>
    <t>Türk Patent Ve Marka Kurumu</t>
  </si>
  <si>
    <t>Sağlık Bakanlığı</t>
  </si>
  <si>
    <t>Devlet Opera Ve Balesi Genel Müdürlüğü</t>
  </si>
  <si>
    <t>Türkiye Hudut Ve Sahiller Sağlık Genel Müdürlüğü</t>
  </si>
  <si>
    <t>Sayıştay</t>
  </si>
  <si>
    <t>Sigortacılık Ve Özel Emeklilik Düzenleme Ve Denetleme Kurumu</t>
  </si>
  <si>
    <t>Atatürk Kültür, Dil Ve Tarih Yüksek Kurumu</t>
  </si>
  <si>
    <t>Adana</t>
  </si>
  <si>
    <t>Afyonkarahisar</t>
  </si>
  <si>
    <t>Amasya</t>
  </si>
  <si>
    <t>Ankara</t>
  </si>
  <si>
    <t>Artvin</t>
  </si>
  <si>
    <t>Balıkesir</t>
  </si>
  <si>
    <t>Batman</t>
  </si>
  <si>
    <t>Bayburt</t>
  </si>
  <si>
    <t>Bilecik</t>
  </si>
  <si>
    <t>Bitlis</t>
  </si>
  <si>
    <t>Bolu</t>
  </si>
  <si>
    <t>Burdur</t>
  </si>
  <si>
    <t>Çanakkale</t>
  </si>
  <si>
    <t>Çankırı</t>
  </si>
  <si>
    <t>Çorum</t>
  </si>
  <si>
    <t>Diyarbakır</t>
  </si>
  <si>
    <t>Edirne</t>
  </si>
  <si>
    <t>Elazığ</t>
  </si>
  <si>
    <t>Erzincan</t>
  </si>
  <si>
    <t>Eskişehir</t>
  </si>
  <si>
    <t>Gümüşhane</t>
  </si>
  <si>
    <t>Hatay</t>
  </si>
  <si>
    <t>Kahramanmaraş</t>
  </si>
  <si>
    <t>Karabük</t>
  </si>
  <si>
    <t>Karaman</t>
  </si>
  <si>
    <t>Kastamonu</t>
  </si>
  <si>
    <t>Kayseri</t>
  </si>
  <si>
    <t>Kırklareli</t>
  </si>
  <si>
    <t>Kırşehir</t>
  </si>
  <si>
    <t>Kocaeli</t>
  </si>
  <si>
    <t>Konya</t>
  </si>
  <si>
    <t>Kütahya</t>
  </si>
  <si>
    <t>Malatya</t>
  </si>
  <si>
    <t>Mardin</t>
  </si>
  <si>
    <t>Mersin</t>
  </si>
  <si>
    <t>Muş</t>
  </si>
  <si>
    <t>Nevşehir</t>
  </si>
  <si>
    <t>Niğde</t>
  </si>
  <si>
    <t>Ordu</t>
  </si>
  <si>
    <t>Osmaniye</t>
  </si>
  <si>
    <t>Rize</t>
  </si>
  <si>
    <t>Sakarya</t>
  </si>
  <si>
    <t>Samsun</t>
  </si>
  <si>
    <t>Sinop</t>
  </si>
  <si>
    <t>Sivas</t>
  </si>
  <si>
    <t>Şanlıurfa</t>
  </si>
  <si>
    <t>Tekirdağ</t>
  </si>
  <si>
    <t>Tokat</t>
  </si>
  <si>
    <t>Yalova</t>
  </si>
  <si>
    <t>Zonguldak</t>
  </si>
  <si>
    <t>Iv.Tur Şahıs</t>
  </si>
  <si>
    <t xml:space="preserve">Bilgi Teknolojileri Ve İletişim Kurumu </t>
  </si>
  <si>
    <t>Vııı.Tur Şahıs</t>
  </si>
  <si>
    <t>Iı.Tur Şahıs</t>
  </si>
  <si>
    <t>V.Tur Şahıs</t>
  </si>
  <si>
    <t>Türkiye Bilimsel Ve Teknolojik Araştırma Kurumu, Türkiye Bilimler Akademisi</t>
  </si>
  <si>
    <t>Devlet Opera Ve Balesi Genel Müdürlüğü,Devlet Tiyatroları Genel Müdürlüğü</t>
  </si>
  <si>
    <t>Vıı.Tur Şahıs</t>
  </si>
  <si>
    <t>I.Tur Şahıs</t>
  </si>
  <si>
    <t>Kosgeb İdaresi Başkanlığı</t>
  </si>
  <si>
    <t>Türk Standardları Enstitüsü, Türk Patent Ve Marka Kurumu</t>
  </si>
  <si>
    <t>Anayasa Mahkemesi</t>
  </si>
  <si>
    <t>Ceza İnfaz Kurumları İle Tutukevleri İş Yurtları Kurumu, Türkiye Adalet Akademisi Başkanlığı</t>
  </si>
  <si>
    <t>Vııı. Tur Şahıs</t>
  </si>
  <si>
    <t>Vı. Tur Şahıs</t>
  </si>
  <si>
    <t>Iv. Tur Şahıs</t>
  </si>
  <si>
    <t>Iı. Tur Şahıs</t>
  </si>
  <si>
    <t>Türkiye İnsan Hakları Ve Eşitlik Kurumu,
Kişisel Verileri Koruma Kurumu</t>
  </si>
  <si>
    <t xml:space="preserve">Milli Eğitim Bakanlığı </t>
  </si>
  <si>
    <t>Iıı. Tur Şahıs</t>
  </si>
  <si>
    <t>Kamu Gözetimi, Muh. Ve Denetim Standartları Kurumu,
Türkiye İstatistik Kurumu</t>
  </si>
  <si>
    <t>Vıı. Tur Şahıs</t>
  </si>
  <si>
    <t xml:space="preserve">Ölçme, Seçme Ve Yerleştirme Merkezi Başkanlığı </t>
  </si>
  <si>
    <t xml:space="preserve">Tapu Ve Kadastro Genel Müdürlüğü </t>
  </si>
  <si>
    <t>Atatürk Kültür, Dil Ve Tarih Yüksek Kurumu,
Atatürk Araştırma Merk, Atatürk Kültür Mer</t>
  </si>
  <si>
    <t>V. Tur Şahıs</t>
  </si>
  <si>
    <t xml:space="preserve">Türkiye Hudut Ve Sahiller Sağlık Genel Müdürlüğü </t>
  </si>
  <si>
    <t xml:space="preserve">Çevre Ve Şehircilik Bakanlığı </t>
  </si>
  <si>
    <t>Bankacılık Düz. Ve Denetleme Kurumu,
Sermaye Piyasası Kurulu</t>
  </si>
  <si>
    <t xml:space="preserve">Küçük Ve Orta Ölçekli İşletmeleri Geliştirme Ve Destekleme İdaresi Başkanlığı </t>
  </si>
  <si>
    <t xml:space="preserve">Türkiye İlaç Ve Tıbbi Cihaz Kurumu </t>
  </si>
  <si>
    <t xml:space="preserve">Yurtdışı Türkler Ve Akraba Topluluklar Başkanlığı </t>
  </si>
  <si>
    <t>III.Tur Şahıs</t>
  </si>
  <si>
    <t>Tarım ve Orman Bakanlığı</t>
  </si>
  <si>
    <t>kaç trch</t>
  </si>
  <si>
    <t>fon</t>
  </si>
  <si>
    <t>Gençlik ve Spor Bakanlığı</t>
  </si>
  <si>
    <t>Müteahhit/Kamu Yönetim</t>
  </si>
  <si>
    <t>PLAN BÜTÇE ÜYELERİ TERCİHLERİ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</si>
</sst>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2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11"/>
      <color theme="9" tint="-0.499984740745262"/>
      <name val="Calibri"/>
      <family val="2"/>
      <charset val="162"/>
      <scheme val="minor"/>
    </font>
    <font>
      <sz val="11"/>
      <name val="Arial Tur"/>
      <charset val="162"/>
    </font>
    <font>
      <b/>
      <sz val="14"/>
      <color rgb="FFFF0000"/>
      <name val="Calibri"/>
      <family val="2"/>
      <charset val="162"/>
      <scheme val="minor"/>
    </font>
    <font>
      <b/>
      <sz val="14"/>
      <color theme="9" tint="-0.499984740745262"/>
      <name val="Calibri"/>
      <family val="2"/>
      <charset val="162"/>
      <scheme val="minor"/>
    </font>
    <font>
      <sz val="14"/>
      <name val="Calibri"/>
      <family val="2"/>
      <charset val="162"/>
      <scheme val="minor"/>
    </font>
    <font>
      <sz val="9"/>
      <name val="Tahoma"/>
      <family val="2"/>
      <charset val="162"/>
    </font>
    <font>
      <b/>
      <sz val="12"/>
      <color rgb="FFFF0000"/>
      <name val="Calibri"/>
      <family val="2"/>
      <charset val="162"/>
      <scheme val="minor"/>
    </font>
    <font>
      <b/>
      <sz val="11"/>
      <color rgb="FF333333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11"/>
      <color rgb="FF333333"/>
      <name val="Calibri"/>
      <family val="2"/>
      <charset val="162"/>
      <scheme val="minor"/>
    </font>
    <font>
      <b/>
      <sz val="9"/>
      <color indexed="60"/>
      <name val="Calibri"/>
      <family val="2"/>
      <charset val="162"/>
      <scheme val="minor"/>
    </font>
    <font>
      <b/>
      <sz val="9"/>
      <color rgb="FFFF0000"/>
      <name val="Calibri"/>
      <family val="2"/>
      <charset val="162"/>
      <scheme val="minor"/>
    </font>
    <font>
      <b/>
      <sz val="12"/>
      <color indexed="60"/>
      <name val="Calibri"/>
      <family val="2"/>
      <charset val="162"/>
      <scheme val="minor"/>
    </font>
    <font>
      <b/>
      <sz val="14"/>
      <color indexed="6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2"/>
      <color theme="9" tint="-0.499984740745262"/>
      <name val="Calibri"/>
      <family val="2"/>
      <charset val="162"/>
      <scheme val="minor"/>
    </font>
    <font>
      <b/>
      <sz val="12"/>
      <name val="Calibri"/>
      <family val="2"/>
      <charset val="162"/>
      <scheme val="minor"/>
    </font>
    <font>
      <b/>
      <sz val="16"/>
      <color rgb="FFFF0000"/>
      <name val="Calibri"/>
      <family val="2"/>
      <charset val="162"/>
      <scheme val="minor"/>
    </font>
    <font>
      <b/>
      <sz val="14"/>
      <name val="Calibri"/>
      <family val="2"/>
      <charset val="162"/>
      <scheme val="minor"/>
    </font>
    <font>
      <b/>
      <sz val="20"/>
      <color rgb="FFFF0000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4"/>
      <color rgb="FF333333"/>
      <name val="Calibri"/>
      <family val="2"/>
      <charset val="162"/>
      <scheme val="minor"/>
    </font>
    <font>
      <sz val="14"/>
      <color rgb="FF333333"/>
      <name val="Calibri"/>
      <family val="2"/>
      <charset val="162"/>
      <scheme val="minor"/>
    </font>
    <font>
      <b/>
      <sz val="12"/>
      <color rgb="FFFF0000"/>
      <name val="Arial Tur"/>
      <charset val="162"/>
    </font>
    <font>
      <b/>
      <sz val="16"/>
      <color rgb="FF0070C0"/>
      <name val="Calibri"/>
      <family val="2"/>
      <charset val="162"/>
      <scheme val="minor"/>
    </font>
    <font>
      <sz val="10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14"/>
      <color indexed="10"/>
      <name val="Calibri"/>
      <family val="2"/>
      <charset val="162"/>
      <scheme val="minor"/>
    </font>
    <font>
      <sz val="12"/>
      <color rgb="FFFF0000"/>
      <name val="Calibri"/>
      <family val="2"/>
      <charset val="162"/>
      <scheme val="minor"/>
    </font>
    <font>
      <b/>
      <sz val="9"/>
      <color theme="9" tint="-0.499984740745262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sz val="12"/>
      <color theme="0"/>
      <name val="Calibri"/>
      <family val="2"/>
      <charset val="16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99">
    <xf numFmtId="0" fontId="0" fillId="0" borderId="0" xfId="0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7" fillId="3" borderId="1" xfId="0" applyFont="1" applyFill="1" applyBorder="1" applyAlignment="1">
      <alignment vertical="center"/>
    </xf>
    <xf numFmtId="0" fontId="7" fillId="0" borderId="1" xfId="0" applyFont="1" applyFill="1" applyBorder="1"/>
    <xf numFmtId="0" fontId="7" fillId="0" borderId="1" xfId="0" applyFont="1" applyBorder="1"/>
    <xf numFmtId="0" fontId="9" fillId="0" borderId="0" xfId="0" applyFont="1"/>
    <xf numFmtId="0" fontId="7" fillId="3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 shrinkToFit="1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center" shrinkToFit="1"/>
    </xf>
    <xf numFmtId="0" fontId="8" fillId="2" borderId="1" xfId="0" applyFont="1" applyFill="1" applyBorder="1" applyAlignment="1">
      <alignment horizontal="center" vertical="center" wrapText="1" shrinkToFit="1"/>
    </xf>
    <xf numFmtId="0" fontId="5" fillId="3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5" fillId="6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 wrapText="1"/>
    </xf>
    <xf numFmtId="0" fontId="7" fillId="0" borderId="0" xfId="0" applyFont="1" applyFill="1" applyAlignment="1">
      <alignment vertical="center" shrinkToFit="1"/>
    </xf>
    <xf numFmtId="0" fontId="10" fillId="0" borderId="1" xfId="0" applyFon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1" xfId="0" applyFont="1" applyFill="1" applyBorder="1" applyAlignment="1">
      <alignment horizontal="left" vertical="center" shrinkToFit="1"/>
    </xf>
    <xf numFmtId="14" fontId="15" fillId="0" borderId="1" xfId="0" applyNumberFormat="1" applyFont="1" applyFill="1" applyBorder="1" applyAlignment="1">
      <alignment horizontal="left" vertical="center" shrinkToFit="1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shrinkToFit="1"/>
    </xf>
    <xf numFmtId="0" fontId="6" fillId="0" borderId="0" xfId="0" applyFont="1" applyBorder="1" applyAlignment="1">
      <alignment vertical="center"/>
    </xf>
    <xf numFmtId="0" fontId="6" fillId="0" borderId="0" xfId="0" applyFont="1"/>
    <xf numFmtId="49" fontId="21" fillId="5" borderId="1" xfId="0" applyNumberFormat="1" applyFont="1" applyFill="1" applyBorder="1" applyAlignment="1">
      <alignment horizontal="center" vertical="center" shrinkToFit="1"/>
    </xf>
    <xf numFmtId="0" fontId="12" fillId="0" borderId="0" xfId="0" applyFont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2" fillId="0" borderId="1" xfId="0" applyFont="1" applyBorder="1" applyAlignment="1">
      <alignment horizontal="center" vertical="center" shrinkToFit="1"/>
    </xf>
    <xf numFmtId="0" fontId="12" fillId="0" borderId="0" xfId="0" applyFont="1" applyBorder="1" applyAlignment="1">
      <alignment vertical="center"/>
    </xf>
    <xf numFmtId="0" fontId="12" fillId="0" borderId="0" xfId="0" applyFont="1"/>
    <xf numFmtId="0" fontId="12" fillId="0" borderId="0" xfId="0" applyFont="1" applyAlignment="1">
      <alignment horizontal="center" shrinkToFit="1"/>
    </xf>
    <xf numFmtId="0" fontId="14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  <xf numFmtId="49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8" fillId="5" borderId="1" xfId="4" applyFont="1" applyFill="1" applyBorder="1" applyAlignment="1">
      <alignment horizontal="center" vertical="center" shrinkToFit="1"/>
    </xf>
    <xf numFmtId="0" fontId="22" fillId="0" borderId="0" xfId="4" applyFont="1"/>
    <xf numFmtId="0" fontId="19" fillId="0" borderId="1" xfId="4" applyFont="1" applyBorder="1" applyAlignment="1">
      <alignment horizontal="center" vertical="center" shrinkToFit="1"/>
    </xf>
    <xf numFmtId="0" fontId="22" fillId="0" borderId="1" xfId="4" applyFont="1" applyBorder="1" applyAlignment="1">
      <alignment vertical="center" shrinkToFit="1"/>
    </xf>
    <xf numFmtId="0" fontId="22" fillId="0" borderId="0" xfId="4" applyFont="1" applyAlignment="1">
      <alignment vertical="center"/>
    </xf>
    <xf numFmtId="0" fontId="22" fillId="0" borderId="0" xfId="4" applyFont="1" applyAlignment="1">
      <alignment horizontal="center" shrinkToFit="1"/>
    </xf>
    <xf numFmtId="0" fontId="22" fillId="0" borderId="0" xfId="4" applyFont="1" applyAlignment="1">
      <alignment shrinkToFit="1"/>
    </xf>
    <xf numFmtId="0" fontId="23" fillId="2" borderId="1" xfId="0" applyFont="1" applyFill="1" applyBorder="1" applyAlignment="1">
      <alignment horizontal="center" vertical="center" wrapText="1" shrinkToFit="1"/>
    </xf>
    <xf numFmtId="0" fontId="23" fillId="2" borderId="1" xfId="0" applyFont="1" applyFill="1" applyBorder="1" applyAlignment="1">
      <alignment horizontal="center" vertical="center" shrinkToFit="1"/>
    </xf>
    <xf numFmtId="0" fontId="6" fillId="7" borderId="1" xfId="0" applyFont="1" applyFill="1" applyBorder="1" applyAlignment="1">
      <alignment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 shrinkToFit="1"/>
    </xf>
    <xf numFmtId="0" fontId="6" fillId="8" borderId="1" xfId="0" applyFont="1" applyFill="1" applyBorder="1" applyAlignment="1">
      <alignment vertical="center"/>
    </xf>
    <xf numFmtId="0" fontId="11" fillId="9" borderId="1" xfId="0" applyFont="1" applyFill="1" applyBorder="1" applyAlignment="1">
      <alignment horizontal="center" vertical="center" shrinkToFit="1"/>
    </xf>
    <xf numFmtId="0" fontId="6" fillId="0" borderId="1" xfId="0" applyFont="1" applyBorder="1" applyAlignment="1">
      <alignment vertical="center"/>
    </xf>
    <xf numFmtId="0" fontId="5" fillId="0" borderId="1" xfId="0" applyFont="1" applyFill="1" applyBorder="1" applyAlignment="1">
      <alignment horizontal="center" vertical="center" shrinkToFit="1"/>
    </xf>
    <xf numFmtId="0" fontId="7" fillId="0" borderId="1" xfId="0" applyFont="1" applyFill="1" applyBorder="1" applyAlignment="1">
      <alignment horizontal="left" vertical="center" shrinkToFit="1"/>
    </xf>
    <xf numFmtId="0" fontId="5" fillId="0" borderId="3" xfId="0" applyFont="1" applyFill="1" applyBorder="1" applyAlignment="1">
      <alignment horizontal="center" vertical="center" shrinkToFit="1"/>
    </xf>
    <xf numFmtId="0" fontId="5" fillId="0" borderId="0" xfId="0" applyFont="1" applyFill="1" applyAlignment="1">
      <alignment horizontal="center" vertical="center" shrinkToFit="1"/>
    </xf>
    <xf numFmtId="0" fontId="28" fillId="0" borderId="1" xfId="0" applyFont="1" applyFill="1" applyBorder="1" applyAlignment="1">
      <alignment horizontal="left" vertical="center" wrapText="1" shrinkToFit="1"/>
    </xf>
    <xf numFmtId="0" fontId="29" fillId="0" borderId="1" xfId="0" applyFont="1" applyFill="1" applyBorder="1" applyAlignment="1">
      <alignment horizontal="left" vertical="center" wrapText="1" shrinkToFit="1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shrinkToFit="1"/>
    </xf>
    <xf numFmtId="0" fontId="26" fillId="0" borderId="1" xfId="0" applyNumberFormat="1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left" vertical="center" shrinkToFit="1"/>
    </xf>
    <xf numFmtId="0" fontId="31" fillId="0" borderId="1" xfId="0" applyFont="1" applyFill="1" applyBorder="1" applyAlignment="1">
      <alignment horizontal="left" vertical="center" shrinkToFit="1"/>
    </xf>
    <xf numFmtId="0" fontId="12" fillId="0" borderId="1" xfId="0" applyFont="1" applyBorder="1" applyAlignment="1">
      <alignment horizontal="left" vertical="center" shrinkToFit="1"/>
    </xf>
    <xf numFmtId="0" fontId="12" fillId="0" borderId="1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32" fillId="0" borderId="1" xfId="0" applyFont="1" applyBorder="1" applyAlignment="1">
      <alignment horizontal="center" vertical="center"/>
    </xf>
    <xf numFmtId="0" fontId="0" fillId="0" borderId="1" xfId="0" applyBorder="1"/>
    <xf numFmtId="0" fontId="5" fillId="0" borderId="0" xfId="0" applyFont="1" applyFill="1" applyBorder="1" applyAlignment="1">
      <alignment horizontal="center" vertical="center" shrinkToFit="1"/>
    </xf>
    <xf numFmtId="0" fontId="5" fillId="0" borderId="4" xfId="0" applyFont="1" applyFill="1" applyBorder="1" applyAlignment="1">
      <alignment horizontal="center" vertical="center" shrinkToFit="1"/>
    </xf>
    <xf numFmtId="0" fontId="7" fillId="9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vertical="center" shrinkToFit="1"/>
    </xf>
    <xf numFmtId="0" fontId="5" fillId="9" borderId="1" xfId="0" applyFont="1" applyFill="1" applyBorder="1" applyAlignment="1">
      <alignment horizontal="center" vertical="center" shrinkToFit="1"/>
    </xf>
    <xf numFmtId="0" fontId="7" fillId="9" borderId="1" xfId="0" applyFont="1" applyFill="1" applyBorder="1" applyAlignment="1">
      <alignment horizontal="left" vertical="center" shrinkToFit="1"/>
    </xf>
    <xf numFmtId="0" fontId="7" fillId="9" borderId="3" xfId="0" applyFont="1" applyFill="1" applyBorder="1" applyAlignment="1">
      <alignment vertical="center" shrinkToFit="1"/>
    </xf>
    <xf numFmtId="0" fontId="5" fillId="9" borderId="3" xfId="0" applyFont="1" applyFill="1" applyBorder="1" applyAlignment="1">
      <alignment horizontal="center" vertical="center" shrinkToFit="1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vertical="center" shrinkToFit="1"/>
    </xf>
    <xf numFmtId="0" fontId="5" fillId="0" borderId="5" xfId="0" applyFont="1" applyFill="1" applyBorder="1" applyAlignment="1">
      <alignment horizontal="center" vertical="center" shrinkToFit="1"/>
    </xf>
    <xf numFmtId="0" fontId="7" fillId="0" borderId="5" xfId="0" applyFont="1" applyFill="1" applyBorder="1" applyAlignment="1">
      <alignment horizontal="left" vertical="center" shrinkToFit="1"/>
    </xf>
    <xf numFmtId="0" fontId="29" fillId="0" borderId="5" xfId="0" applyFont="1" applyFill="1" applyBorder="1" applyAlignment="1">
      <alignment horizontal="left" vertical="center" wrapText="1" shrinkToFit="1"/>
    </xf>
    <xf numFmtId="0" fontId="28" fillId="0" borderId="5" xfId="0" applyFont="1" applyFill="1" applyBorder="1" applyAlignment="1">
      <alignment horizontal="left" vertical="center" wrapText="1" shrinkToFit="1"/>
    </xf>
    <xf numFmtId="0" fontId="27" fillId="0" borderId="2" xfId="0" applyFont="1" applyFill="1" applyBorder="1" applyAlignment="1">
      <alignment vertical="center" shrinkToFit="1"/>
    </xf>
    <xf numFmtId="0" fontId="7" fillId="4" borderId="1" xfId="0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left" vertical="center" shrinkToFit="1"/>
    </xf>
    <xf numFmtId="0" fontId="13" fillId="0" borderId="1" xfId="0" applyFont="1" applyFill="1" applyBorder="1" applyAlignment="1">
      <alignment horizontal="left" vertical="center" shrinkToFit="1"/>
    </xf>
    <xf numFmtId="0" fontId="7" fillId="9" borderId="5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vertical="center" shrinkToFit="1"/>
    </xf>
    <xf numFmtId="0" fontId="5" fillId="9" borderId="5" xfId="0" applyFont="1" applyFill="1" applyBorder="1" applyAlignment="1">
      <alignment horizontal="center" vertical="center" shrinkToFit="1"/>
    </xf>
    <xf numFmtId="0" fontId="7" fillId="9" borderId="5" xfId="0" applyFont="1" applyFill="1" applyBorder="1" applyAlignment="1">
      <alignment horizontal="left" vertical="center" shrinkToFit="1"/>
    </xf>
    <xf numFmtId="0" fontId="13" fillId="0" borderId="5" xfId="0" applyFont="1" applyFill="1" applyBorder="1" applyAlignment="1">
      <alignment horizontal="left" vertical="center" shrinkToFit="1"/>
    </xf>
    <xf numFmtId="0" fontId="22" fillId="0" borderId="5" xfId="4" applyFont="1" applyFill="1" applyBorder="1" applyAlignment="1">
      <alignment vertical="center" shrinkToFit="1"/>
    </xf>
    <xf numFmtId="0" fontId="22" fillId="0" borderId="1" xfId="4" applyFont="1" applyFill="1" applyBorder="1" applyAlignment="1">
      <alignment vertical="center" shrinkToFit="1"/>
    </xf>
    <xf numFmtId="0" fontId="11" fillId="2" borderId="1" xfId="0" applyFont="1" applyFill="1" applyBorder="1" applyAlignment="1">
      <alignment horizontal="center" vertical="center" shrinkToFit="1"/>
    </xf>
    <xf numFmtId="0" fontId="6" fillId="0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 shrinkToFit="1"/>
    </xf>
    <xf numFmtId="0" fontId="6" fillId="0" borderId="0" xfId="0" applyFont="1" applyFill="1"/>
    <xf numFmtId="0" fontId="2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vertical="center" shrinkToFit="1"/>
    </xf>
    <xf numFmtId="0" fontId="6" fillId="0" borderId="0" xfId="0" applyFont="1" applyFill="1" applyAlignment="1">
      <alignment vertical="center"/>
    </xf>
    <xf numFmtId="0" fontId="6" fillId="0" borderId="1" xfId="0" applyFont="1" applyBorder="1"/>
    <xf numFmtId="0" fontId="6" fillId="0" borderId="1" xfId="0" applyFont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center"/>
    </xf>
    <xf numFmtId="0" fontId="6" fillId="0" borderId="1" xfId="0" applyNumberFormat="1" applyFont="1" applyFill="1" applyBorder="1" applyAlignment="1">
      <alignment horizontal="center" vertical="center" wrapText="1"/>
    </xf>
    <xf numFmtId="0" fontId="33" fillId="0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left" vertical="center" shrinkToFit="1"/>
    </xf>
    <xf numFmtId="0" fontId="0" fillId="0" borderId="6" xfId="0" applyBorder="1"/>
    <xf numFmtId="0" fontId="34" fillId="0" borderId="0" xfId="0" applyFont="1"/>
    <xf numFmtId="0" fontId="35" fillId="0" borderId="1" xfId="4" applyFont="1" applyBorder="1" applyAlignment="1">
      <alignment horizontal="center" vertical="center" shrinkToFit="1"/>
    </xf>
    <xf numFmtId="0" fontId="36" fillId="0" borderId="1" xfId="4" applyFont="1" applyBorder="1" applyAlignment="1">
      <alignment vertical="center" shrinkToFit="1"/>
    </xf>
    <xf numFmtId="0" fontId="35" fillId="9" borderId="1" xfId="0" applyFont="1" applyFill="1" applyBorder="1" applyAlignment="1">
      <alignment horizontal="center"/>
    </xf>
    <xf numFmtId="0" fontId="34" fillId="0" borderId="1" xfId="0" applyFont="1" applyBorder="1"/>
    <xf numFmtId="0" fontId="37" fillId="5" borderId="1" xfId="0" applyFont="1" applyFill="1" applyBorder="1" applyAlignment="1">
      <alignment horizontal="center" vertical="center"/>
    </xf>
    <xf numFmtId="0" fontId="10" fillId="0" borderId="1" xfId="0" applyNumberFormat="1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left" vertical="center" shrinkToFit="1"/>
    </xf>
    <xf numFmtId="0" fontId="6" fillId="0" borderId="1" xfId="0" applyFont="1" applyBorder="1" applyAlignment="1">
      <alignment shrinkToFit="1"/>
    </xf>
    <xf numFmtId="0" fontId="21" fillId="5" borderId="1" xfId="0" applyFont="1" applyFill="1" applyBorder="1" applyAlignment="1">
      <alignment vertical="center" shrinkToFit="1"/>
    </xf>
    <xf numFmtId="49" fontId="21" fillId="5" borderId="1" xfId="0" applyNumberFormat="1" applyFont="1" applyFill="1" applyBorder="1" applyAlignment="1">
      <alignment horizontal="left" vertical="center" shrinkToFit="1"/>
    </xf>
    <xf numFmtId="0" fontId="12" fillId="0" borderId="1" xfId="0" applyFont="1" applyFill="1" applyBorder="1" applyAlignment="1">
      <alignment vertical="center" shrinkToFit="1"/>
    </xf>
    <xf numFmtId="0" fontId="12" fillId="0" borderId="1" xfId="0" applyFont="1" applyFill="1" applyBorder="1" applyAlignment="1">
      <alignment horizontal="center" vertical="center" shrinkToFit="1"/>
    </xf>
    <xf numFmtId="0" fontId="12" fillId="0" borderId="0" xfId="0" applyFont="1" applyAlignment="1">
      <alignment shrinkToFit="1"/>
    </xf>
    <xf numFmtId="0" fontId="7" fillId="0" borderId="0" xfId="0" applyFont="1" applyFill="1" applyAlignment="1">
      <alignment shrinkToFit="1"/>
    </xf>
    <xf numFmtId="0" fontId="7" fillId="0" borderId="1" xfId="0" applyFont="1" applyBorder="1" applyAlignment="1">
      <alignment shrinkToFit="1"/>
    </xf>
    <xf numFmtId="0" fontId="14" fillId="9" borderId="1" xfId="0" applyFont="1" applyFill="1" applyBorder="1" applyAlignment="1">
      <alignment horizontal="center"/>
    </xf>
    <xf numFmtId="0" fontId="6" fillId="9" borderId="1" xfId="0" applyFont="1" applyFill="1" applyBorder="1"/>
    <xf numFmtId="0" fontId="6" fillId="9" borderId="1" xfId="0" applyFont="1" applyFill="1" applyBorder="1" applyAlignment="1">
      <alignment horizontal="center"/>
    </xf>
    <xf numFmtId="0" fontId="6" fillId="9" borderId="1" xfId="0" applyFont="1" applyFill="1" applyBorder="1" applyAlignment="1">
      <alignment vertical="center" shrinkToFit="1"/>
    </xf>
    <xf numFmtId="0" fontId="7" fillId="9" borderId="1" xfId="0" applyFont="1" applyFill="1" applyBorder="1" applyAlignment="1">
      <alignment shrinkToFit="1"/>
    </xf>
    <xf numFmtId="0" fontId="6" fillId="9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vertical="center"/>
    </xf>
    <xf numFmtId="0" fontId="14" fillId="0" borderId="1" xfId="0" applyFont="1" applyFill="1" applyBorder="1" applyAlignment="1">
      <alignment vertical="center" shrinkToFit="1"/>
    </xf>
    <xf numFmtId="0" fontId="14" fillId="9" borderId="1" xfId="0" applyFont="1" applyFill="1" applyBorder="1"/>
    <xf numFmtId="0" fontId="14" fillId="0" borderId="1" xfId="0" applyFont="1" applyFill="1" applyBorder="1"/>
    <xf numFmtId="0" fontId="14" fillId="0" borderId="1" xfId="0" applyFont="1" applyFill="1" applyBorder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10" fillId="9" borderId="1" xfId="0" applyFont="1" applyFill="1" applyBorder="1" applyAlignment="1">
      <alignment horizontal="center"/>
    </xf>
    <xf numFmtId="0" fontId="12" fillId="0" borderId="1" xfId="0" applyFont="1" applyBorder="1"/>
    <xf numFmtId="0" fontId="38" fillId="0" borderId="1" xfId="0" applyFont="1" applyBorder="1"/>
    <xf numFmtId="0" fontId="38" fillId="9" borderId="1" xfId="0" applyFont="1" applyFill="1" applyBorder="1"/>
    <xf numFmtId="0" fontId="38" fillId="0" borderId="1" xfId="0" applyFont="1" applyFill="1" applyBorder="1"/>
    <xf numFmtId="0" fontId="38" fillId="0" borderId="1" xfId="0" applyFont="1" applyFill="1" applyBorder="1" applyAlignment="1">
      <alignment vertical="center" shrinkToFit="1"/>
    </xf>
    <xf numFmtId="0" fontId="7" fillId="0" borderId="1" xfId="0" applyFont="1" applyFill="1" applyBorder="1" applyAlignment="1">
      <alignment shrinkToFit="1"/>
    </xf>
    <xf numFmtId="0" fontId="7" fillId="0" borderId="1" xfId="0" applyFont="1" applyFill="1" applyBorder="1" applyAlignment="1">
      <alignment vertical="center"/>
    </xf>
    <xf numFmtId="0" fontId="28" fillId="0" borderId="1" xfId="4" applyFont="1" applyBorder="1" applyAlignment="1">
      <alignment vertical="center" shrinkToFit="1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center"/>
    </xf>
    <xf numFmtId="0" fontId="23" fillId="9" borderId="1" xfId="0" applyFont="1" applyFill="1" applyBorder="1" applyAlignment="1">
      <alignment horizontal="center" vertical="center" wrapText="1"/>
    </xf>
    <xf numFmtId="0" fontId="23" fillId="9" borderId="1" xfId="0" applyFont="1" applyFill="1" applyBorder="1" applyAlignment="1">
      <alignment horizontal="center" vertical="center" shrinkToFit="1"/>
    </xf>
    <xf numFmtId="0" fontId="20" fillId="9" borderId="1" xfId="0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/>
    </xf>
    <xf numFmtId="0" fontId="7" fillId="9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9" borderId="5" xfId="0" applyFont="1" applyFill="1" applyBorder="1" applyAlignment="1">
      <alignment vertical="center"/>
    </xf>
    <xf numFmtId="0" fontId="7" fillId="9" borderId="5" xfId="0" applyFont="1" applyFill="1" applyBorder="1" applyAlignment="1">
      <alignment horizontal="left" vertical="center"/>
    </xf>
    <xf numFmtId="0" fontId="7" fillId="0" borderId="0" xfId="0" applyFont="1" applyAlignment="1">
      <alignment vertical="center" shrinkToFit="1"/>
    </xf>
    <xf numFmtId="0" fontId="7" fillId="0" borderId="3" xfId="0" applyFont="1" applyFill="1" applyBorder="1" applyAlignment="1">
      <alignment vertical="center"/>
    </xf>
    <xf numFmtId="0" fontId="7" fillId="0" borderId="3" xfId="0" applyFont="1" applyFill="1" applyBorder="1" applyAlignment="1">
      <alignment horizontal="left" vertical="center"/>
    </xf>
    <xf numFmtId="0" fontId="7" fillId="9" borderId="6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39" fillId="2" borderId="1" xfId="0" applyFont="1" applyFill="1" applyBorder="1" applyAlignment="1">
      <alignment horizontal="center" vertical="center" wrapText="1" shrinkToFit="1"/>
    </xf>
    <xf numFmtId="0" fontId="25" fillId="0" borderId="2" xfId="0" applyFont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 shrinkToFit="1"/>
    </xf>
    <xf numFmtId="0" fontId="27" fillId="0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25" fillId="0" borderId="2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/>
    </xf>
    <xf numFmtId="0" fontId="38" fillId="0" borderId="1" xfId="0" applyFont="1" applyFill="1" applyBorder="1" applyAlignment="1">
      <alignment horizontal="center" vertical="center"/>
    </xf>
    <xf numFmtId="0" fontId="38" fillId="10" borderId="1" xfId="0" applyFont="1" applyFill="1" applyBorder="1" applyAlignment="1">
      <alignment horizontal="center"/>
    </xf>
    <xf numFmtId="0" fontId="41" fillId="10" borderId="1" xfId="0" applyFont="1" applyFill="1" applyBorder="1"/>
    <xf numFmtId="0" fontId="41" fillId="10" borderId="1" xfId="0" applyFont="1" applyFill="1" applyBorder="1" applyAlignment="1">
      <alignment vertical="center" shrinkToFit="1"/>
    </xf>
    <xf numFmtId="0" fontId="41" fillId="10" borderId="1" xfId="0" applyFont="1" applyFill="1" applyBorder="1" applyAlignment="1">
      <alignment horizontal="center" vertical="center"/>
    </xf>
    <xf numFmtId="0" fontId="38" fillId="9" borderId="1" xfId="0" applyFont="1" applyFill="1" applyBorder="1" applyAlignment="1">
      <alignment horizontal="center"/>
    </xf>
    <xf numFmtId="0" fontId="38" fillId="9" borderId="1" xfId="0" applyFont="1" applyFill="1" applyBorder="1" applyAlignment="1">
      <alignment vertical="center" shrinkToFit="1"/>
    </xf>
    <xf numFmtId="0" fontId="38" fillId="9" borderId="1" xfId="0" applyFont="1" applyFill="1" applyBorder="1" applyAlignment="1">
      <alignment horizontal="center" vertical="center"/>
    </xf>
    <xf numFmtId="0" fontId="40" fillId="9" borderId="1" xfId="0" applyFont="1" applyFill="1" applyBorder="1" applyAlignment="1">
      <alignment shrinkToFit="1"/>
    </xf>
    <xf numFmtId="0" fontId="41" fillId="10" borderId="1" xfId="0" applyFont="1" applyFill="1" applyBorder="1" applyAlignment="1">
      <alignment horizontal="center"/>
    </xf>
    <xf numFmtId="0" fontId="38" fillId="0" borderId="1" xfId="0" applyFont="1" applyFill="1" applyBorder="1" applyAlignment="1">
      <alignment horizontal="center"/>
    </xf>
    <xf numFmtId="0" fontId="38" fillId="0" borderId="1" xfId="0" applyFont="1" applyFill="1" applyBorder="1" applyAlignment="1">
      <alignment vertical="center"/>
    </xf>
  </cellXfs>
  <cellStyles count="5">
    <cellStyle name="Normal" xfId="0" builtinId="0"/>
    <cellStyle name="Normal 2" xfId="1"/>
    <cellStyle name="Normal 3" xfId="2"/>
    <cellStyle name="Normal 4" xfId="3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>
    <tabColor rgb="FF0070C0"/>
  </sheetPr>
  <dimension ref="A1:M848"/>
  <sheetViews>
    <sheetView zoomScale="85" zoomScaleNormal="85" workbookViewId="0">
      <pane ySplit="1" topLeftCell="A563" activePane="bottomLeft" state="frozen"/>
      <selection pane="bottomLeft" activeCell="A594" sqref="A594:G597"/>
    </sheetView>
  </sheetViews>
  <sheetFormatPr defaultRowHeight="17.25" customHeight="1"/>
  <cols>
    <col min="1" max="1" width="6.7109375" style="20" customWidth="1"/>
    <col min="2" max="2" width="18.28515625" style="9" bestFit="1" customWidth="1"/>
    <col min="3" max="3" width="18.85546875" style="9" bestFit="1" customWidth="1"/>
    <col min="4" max="4" width="16.7109375" style="9" bestFit="1" customWidth="1"/>
    <col min="5" max="5" width="10.5703125" style="13" customWidth="1"/>
    <col min="6" max="6" width="70.7109375" style="14" bestFit="1" customWidth="1"/>
    <col min="7" max="7" width="5.7109375" style="13" customWidth="1"/>
    <col min="8" max="8" width="36" style="13" customWidth="1"/>
    <col min="9" max="10" width="25.28515625" style="8" customWidth="1"/>
    <col min="11" max="11" width="25.28515625" style="4" customWidth="1"/>
    <col min="12" max="13" width="25.28515625" style="8" customWidth="1"/>
    <col min="14" max="16384" width="9.140625" style="8"/>
  </cols>
  <sheetData>
    <row r="1" spans="1:13" s="4" customFormat="1" ht="17.25" customHeight="1">
      <c r="A1" s="3" t="s">
        <v>380</v>
      </c>
      <c r="B1" s="3" t="s">
        <v>375</v>
      </c>
      <c r="C1" s="3" t="s">
        <v>376</v>
      </c>
      <c r="D1" s="3" t="s">
        <v>377</v>
      </c>
      <c r="E1" s="3" t="s">
        <v>379</v>
      </c>
      <c r="F1" s="3" t="s">
        <v>378</v>
      </c>
      <c r="G1" s="3" t="s">
        <v>241</v>
      </c>
      <c r="H1" s="3" t="s">
        <v>381</v>
      </c>
      <c r="J1" s="3" t="s">
        <v>239</v>
      </c>
      <c r="K1" s="3" t="s">
        <v>372</v>
      </c>
      <c r="L1" s="3" t="s">
        <v>373</v>
      </c>
      <c r="M1" s="3" t="s">
        <v>374</v>
      </c>
    </row>
    <row r="2" spans="1:13" ht="17.25" customHeight="1">
      <c r="A2" s="19">
        <v>240</v>
      </c>
      <c r="B2" s="5" t="s">
        <v>139</v>
      </c>
      <c r="C2" s="5" t="s">
        <v>873</v>
      </c>
      <c r="D2" s="5" t="s">
        <v>874</v>
      </c>
      <c r="E2" s="11">
        <v>9</v>
      </c>
      <c r="F2" s="12" t="s">
        <v>537</v>
      </c>
      <c r="G2" s="11">
        <v>3</v>
      </c>
      <c r="H2" s="11"/>
      <c r="I2" s="6" t="str">
        <f>IF(COUNTIF(J:J,A2)," var","yokkkk")</f>
        <v>yokkkk</v>
      </c>
      <c r="J2" s="149">
        <v>53</v>
      </c>
      <c r="K2" s="7" t="s">
        <v>1462</v>
      </c>
      <c r="L2" s="7" t="s">
        <v>1549</v>
      </c>
      <c r="M2" s="7" t="s">
        <v>1550</v>
      </c>
    </row>
    <row r="3" spans="1:13" ht="17.25" customHeight="1">
      <c r="A3" s="19">
        <v>240</v>
      </c>
      <c r="B3" s="5" t="s">
        <v>139</v>
      </c>
      <c r="C3" s="5" t="s">
        <v>873</v>
      </c>
      <c r="D3" s="5" t="s">
        <v>874</v>
      </c>
      <c r="E3" s="11">
        <v>31</v>
      </c>
      <c r="F3" s="12" t="s">
        <v>946</v>
      </c>
      <c r="G3" s="11">
        <v>2</v>
      </c>
      <c r="H3" s="11"/>
      <c r="I3" s="6" t="str">
        <f t="shared" ref="I3:I66" si="0">IF(COUNTIF(J:J,A3)," var","yokkkk")</f>
        <v>yokkkk</v>
      </c>
      <c r="J3" s="149">
        <v>104</v>
      </c>
      <c r="K3" s="7" t="s">
        <v>1546</v>
      </c>
      <c r="L3" s="7" t="s">
        <v>1551</v>
      </c>
      <c r="M3" s="7" t="s">
        <v>1552</v>
      </c>
    </row>
    <row r="4" spans="1:13" ht="17.25" customHeight="1">
      <c r="A4" s="19">
        <v>240</v>
      </c>
      <c r="B4" s="5" t="s">
        <v>139</v>
      </c>
      <c r="C4" s="5" t="s">
        <v>873</v>
      </c>
      <c r="D4" s="5" t="s">
        <v>874</v>
      </c>
      <c r="E4" s="11">
        <v>76</v>
      </c>
      <c r="F4" s="12" t="s">
        <v>4</v>
      </c>
      <c r="G4" s="11">
        <v>1</v>
      </c>
      <c r="H4" s="11"/>
      <c r="I4" s="6" t="str">
        <f t="shared" si="0"/>
        <v>yokkkk</v>
      </c>
      <c r="J4" s="149">
        <v>160</v>
      </c>
      <c r="K4" s="7" t="s">
        <v>1268</v>
      </c>
      <c r="L4" s="7" t="s">
        <v>1553</v>
      </c>
      <c r="M4" s="7" t="s">
        <v>1554</v>
      </c>
    </row>
    <row r="5" spans="1:13" ht="17.25" customHeight="1">
      <c r="A5" s="19">
        <v>240</v>
      </c>
      <c r="B5" s="5" t="s">
        <v>139</v>
      </c>
      <c r="C5" s="5" t="s">
        <v>873</v>
      </c>
      <c r="D5" s="5" t="s">
        <v>874</v>
      </c>
      <c r="E5" s="11">
        <v>77</v>
      </c>
      <c r="F5" s="12" t="s">
        <v>573</v>
      </c>
      <c r="G5" s="11">
        <v>4</v>
      </c>
      <c r="H5" s="11"/>
      <c r="I5" s="6" t="str">
        <f t="shared" si="0"/>
        <v>yokkkk</v>
      </c>
      <c r="J5" s="149">
        <v>65</v>
      </c>
      <c r="K5" s="7" t="s">
        <v>1467</v>
      </c>
      <c r="L5" s="7" t="s">
        <v>1555</v>
      </c>
      <c r="M5" s="7" t="s">
        <v>1556</v>
      </c>
    </row>
    <row r="6" spans="1:13" ht="17.25" customHeight="1">
      <c r="A6" s="19">
        <v>155</v>
      </c>
      <c r="B6" s="5" t="s">
        <v>104</v>
      </c>
      <c r="C6" s="5" t="s">
        <v>798</v>
      </c>
      <c r="D6" s="5" t="s">
        <v>693</v>
      </c>
      <c r="E6" s="11">
        <v>11</v>
      </c>
      <c r="F6" s="12" t="s">
        <v>539</v>
      </c>
      <c r="G6" s="11">
        <v>1</v>
      </c>
      <c r="H6" s="11"/>
      <c r="I6" s="6" t="str">
        <f t="shared" si="0"/>
        <v>yokkkk</v>
      </c>
      <c r="J6" s="149">
        <v>78</v>
      </c>
      <c r="K6" s="7" t="s">
        <v>1218</v>
      </c>
      <c r="L6" s="7" t="s">
        <v>1557</v>
      </c>
      <c r="M6" s="7" t="s">
        <v>1556</v>
      </c>
    </row>
    <row r="7" spans="1:13" ht="17.25" customHeight="1">
      <c r="A7" s="19">
        <v>164</v>
      </c>
      <c r="B7" s="5" t="s">
        <v>111</v>
      </c>
      <c r="C7" s="5" t="s">
        <v>339</v>
      </c>
      <c r="D7" s="5" t="s">
        <v>340</v>
      </c>
      <c r="E7" s="11">
        <v>11</v>
      </c>
      <c r="F7" s="12" t="s">
        <v>539</v>
      </c>
      <c r="G7" s="11">
        <v>1</v>
      </c>
      <c r="H7" s="11"/>
      <c r="I7" s="6" t="str">
        <f t="shared" si="0"/>
        <v>yokkkk</v>
      </c>
      <c r="J7" s="149">
        <v>86</v>
      </c>
      <c r="K7" s="7" t="s">
        <v>1224</v>
      </c>
      <c r="L7" s="7" t="s">
        <v>1558</v>
      </c>
      <c r="M7" s="7" t="s">
        <v>1556</v>
      </c>
    </row>
    <row r="8" spans="1:13" ht="17.25" customHeight="1">
      <c r="A8" s="19">
        <v>164</v>
      </c>
      <c r="B8" s="5" t="s">
        <v>111</v>
      </c>
      <c r="C8" s="5" t="s">
        <v>339</v>
      </c>
      <c r="D8" s="5" t="s">
        <v>340</v>
      </c>
      <c r="E8" s="11">
        <v>24</v>
      </c>
      <c r="F8" s="12" t="s">
        <v>951</v>
      </c>
      <c r="G8" s="11">
        <v>4</v>
      </c>
      <c r="H8" s="11"/>
      <c r="I8" s="6" t="str">
        <f t="shared" si="0"/>
        <v>yokkkk</v>
      </c>
      <c r="J8" s="149">
        <v>96</v>
      </c>
      <c r="K8" s="7" t="s">
        <v>1231</v>
      </c>
      <c r="L8" s="7" t="s">
        <v>1559</v>
      </c>
      <c r="M8" s="7" t="s">
        <v>1556</v>
      </c>
    </row>
    <row r="9" spans="1:13" ht="17.25" customHeight="1">
      <c r="A9" s="19">
        <v>164</v>
      </c>
      <c r="B9" s="5" t="s">
        <v>111</v>
      </c>
      <c r="C9" s="5" t="s">
        <v>339</v>
      </c>
      <c r="D9" s="5" t="s">
        <v>340</v>
      </c>
      <c r="E9" s="11">
        <v>32</v>
      </c>
      <c r="F9" s="12" t="s">
        <v>549</v>
      </c>
      <c r="G9" s="11">
        <v>5</v>
      </c>
      <c r="H9" s="11"/>
      <c r="I9" s="6" t="str">
        <f t="shared" si="0"/>
        <v>yokkkk</v>
      </c>
      <c r="J9" s="149">
        <v>109</v>
      </c>
      <c r="K9" s="7" t="s">
        <v>1241</v>
      </c>
      <c r="L9" s="7" t="s">
        <v>1560</v>
      </c>
      <c r="M9" s="7" t="s">
        <v>1556</v>
      </c>
    </row>
    <row r="10" spans="1:13" ht="17.25" customHeight="1">
      <c r="A10" s="19">
        <v>164</v>
      </c>
      <c r="B10" s="5" t="s">
        <v>111</v>
      </c>
      <c r="C10" s="5" t="s">
        <v>339</v>
      </c>
      <c r="D10" s="5" t="s">
        <v>340</v>
      </c>
      <c r="E10" s="11">
        <v>54</v>
      </c>
      <c r="F10" s="12" t="s">
        <v>533</v>
      </c>
      <c r="G10" s="11">
        <v>3</v>
      </c>
      <c r="H10" s="11"/>
      <c r="I10" s="6" t="str">
        <f t="shared" si="0"/>
        <v>yokkkk</v>
      </c>
      <c r="J10" s="149">
        <v>167</v>
      </c>
      <c r="K10" s="7" t="s">
        <v>1273</v>
      </c>
      <c r="L10" s="7" t="s">
        <v>1561</v>
      </c>
      <c r="M10" s="7" t="s">
        <v>1556</v>
      </c>
    </row>
    <row r="11" spans="1:13" ht="17.25" customHeight="1">
      <c r="A11" s="19">
        <v>164</v>
      </c>
      <c r="B11" s="5" t="s">
        <v>111</v>
      </c>
      <c r="C11" s="5" t="s">
        <v>339</v>
      </c>
      <c r="D11" s="5" t="s">
        <v>340</v>
      </c>
      <c r="E11" s="11">
        <v>85</v>
      </c>
      <c r="F11" s="12" t="s">
        <v>580</v>
      </c>
      <c r="G11" s="11">
        <v>2</v>
      </c>
      <c r="H11" s="11"/>
      <c r="I11" s="6" t="str">
        <f t="shared" si="0"/>
        <v>yokkkk</v>
      </c>
      <c r="J11" s="149">
        <v>220</v>
      </c>
      <c r="K11" s="7" t="s">
        <v>1519</v>
      </c>
      <c r="L11" s="7" t="s">
        <v>1562</v>
      </c>
      <c r="M11" s="7" t="s">
        <v>1556</v>
      </c>
    </row>
    <row r="12" spans="1:13" ht="17.25" customHeight="1">
      <c r="A12" s="19">
        <v>172</v>
      </c>
      <c r="B12" s="5" t="s">
        <v>112</v>
      </c>
      <c r="C12" s="5" t="s">
        <v>155</v>
      </c>
      <c r="D12" s="5" t="s">
        <v>310</v>
      </c>
      <c r="E12" s="11">
        <v>9</v>
      </c>
      <c r="F12" s="12" t="s">
        <v>537</v>
      </c>
      <c r="G12" s="11">
        <v>2</v>
      </c>
      <c r="H12" s="11"/>
      <c r="I12" s="6" t="str">
        <f t="shared" si="0"/>
        <v>yokkkk</v>
      </c>
      <c r="J12" s="149">
        <v>277</v>
      </c>
      <c r="K12" s="7" t="s">
        <v>1341</v>
      </c>
      <c r="L12" s="7" t="s">
        <v>1563</v>
      </c>
      <c r="M12" s="7" t="s">
        <v>1556</v>
      </c>
    </row>
    <row r="13" spans="1:13" ht="17.25" customHeight="1">
      <c r="A13" s="19">
        <v>172</v>
      </c>
      <c r="B13" s="5" t="s">
        <v>112</v>
      </c>
      <c r="C13" s="5" t="s">
        <v>155</v>
      </c>
      <c r="D13" s="5" t="s">
        <v>310</v>
      </c>
      <c r="E13" s="11">
        <v>22</v>
      </c>
      <c r="F13" s="12" t="s">
        <v>956</v>
      </c>
      <c r="G13" s="11">
        <v>3</v>
      </c>
      <c r="H13" s="11"/>
      <c r="I13" s="6" t="str">
        <f t="shared" si="0"/>
        <v>yokkkk</v>
      </c>
      <c r="J13" s="149">
        <v>39</v>
      </c>
      <c r="K13" s="7" t="s">
        <v>1191</v>
      </c>
      <c r="L13" s="7" t="s">
        <v>1564</v>
      </c>
      <c r="M13" s="7" t="s">
        <v>1556</v>
      </c>
    </row>
    <row r="14" spans="1:13" ht="17.25" customHeight="1">
      <c r="A14" s="19">
        <v>172</v>
      </c>
      <c r="B14" s="5" t="s">
        <v>112</v>
      </c>
      <c r="C14" s="5" t="s">
        <v>155</v>
      </c>
      <c r="D14" s="5" t="s">
        <v>310</v>
      </c>
      <c r="E14" s="11">
        <v>28</v>
      </c>
      <c r="F14" s="12" t="s">
        <v>570</v>
      </c>
      <c r="G14" s="11">
        <v>4</v>
      </c>
      <c r="H14" s="11"/>
      <c r="I14" s="6" t="str">
        <f t="shared" si="0"/>
        <v>yokkkk</v>
      </c>
      <c r="J14" s="149">
        <v>280</v>
      </c>
      <c r="K14" s="7" t="s">
        <v>1343</v>
      </c>
      <c r="L14" s="7" t="s">
        <v>1565</v>
      </c>
      <c r="M14" s="7" t="s">
        <v>1556</v>
      </c>
    </row>
    <row r="15" spans="1:13" ht="17.25" customHeight="1">
      <c r="A15" s="19">
        <v>172</v>
      </c>
      <c r="B15" s="5" t="s">
        <v>112</v>
      </c>
      <c r="C15" s="5" t="s">
        <v>155</v>
      </c>
      <c r="D15" s="5" t="s">
        <v>310</v>
      </c>
      <c r="E15" s="11">
        <v>55</v>
      </c>
      <c r="F15" s="12" t="s">
        <v>238</v>
      </c>
      <c r="G15" s="11">
        <v>5</v>
      </c>
      <c r="H15" s="11"/>
      <c r="I15" s="6" t="str">
        <f t="shared" si="0"/>
        <v>yokkkk</v>
      </c>
      <c r="J15" s="149">
        <v>13</v>
      </c>
      <c r="K15" s="7" t="s">
        <v>1177</v>
      </c>
      <c r="L15" s="7" t="s">
        <v>1566</v>
      </c>
      <c r="M15" s="7" t="s">
        <v>1556</v>
      </c>
    </row>
    <row r="16" spans="1:13" ht="17.25" customHeight="1">
      <c r="A16" s="19">
        <v>172</v>
      </c>
      <c r="B16" s="5" t="s">
        <v>112</v>
      </c>
      <c r="C16" s="5" t="s">
        <v>155</v>
      </c>
      <c r="D16" s="5" t="s">
        <v>310</v>
      </c>
      <c r="E16" s="11">
        <v>92</v>
      </c>
      <c r="F16" s="12" t="s">
        <v>531</v>
      </c>
      <c r="G16" s="11">
        <v>1</v>
      </c>
      <c r="H16" s="11"/>
      <c r="I16" s="6" t="str">
        <f t="shared" si="0"/>
        <v>yokkkk</v>
      </c>
      <c r="J16" s="149">
        <v>32</v>
      </c>
      <c r="K16" s="7" t="s">
        <v>1186</v>
      </c>
      <c r="L16" s="7" t="s">
        <v>1567</v>
      </c>
      <c r="M16" s="7" t="s">
        <v>1556</v>
      </c>
    </row>
    <row r="17" spans="1:13" ht="17.25" customHeight="1">
      <c r="A17" s="19">
        <v>234</v>
      </c>
      <c r="B17" s="5" t="s">
        <v>149</v>
      </c>
      <c r="C17" s="5" t="s">
        <v>27</v>
      </c>
      <c r="D17" s="5" t="s">
        <v>100</v>
      </c>
      <c r="E17" s="11">
        <v>17</v>
      </c>
      <c r="F17" s="12" t="s">
        <v>955</v>
      </c>
      <c r="G17" s="11">
        <v>1</v>
      </c>
      <c r="H17" s="11"/>
      <c r="I17" s="6" t="str">
        <f t="shared" si="0"/>
        <v>yokkkk</v>
      </c>
      <c r="J17" s="21"/>
      <c r="K17" s="22"/>
      <c r="L17" s="21"/>
      <c r="M17" s="21"/>
    </row>
    <row r="18" spans="1:13" ht="17.25" customHeight="1">
      <c r="A18" s="19">
        <v>234</v>
      </c>
      <c r="B18" s="5" t="s">
        <v>149</v>
      </c>
      <c r="C18" s="5" t="s">
        <v>27</v>
      </c>
      <c r="D18" s="5" t="s">
        <v>100</v>
      </c>
      <c r="E18" s="11">
        <v>55</v>
      </c>
      <c r="F18" s="12" t="s">
        <v>238</v>
      </c>
      <c r="G18" s="11">
        <v>2</v>
      </c>
      <c r="H18" s="11"/>
      <c r="I18" s="6" t="str">
        <f t="shared" si="0"/>
        <v>yokkkk</v>
      </c>
      <c r="J18" s="21"/>
      <c r="K18" s="22"/>
      <c r="L18" s="21"/>
      <c r="M18" s="21"/>
    </row>
    <row r="19" spans="1:13" ht="17.25" customHeight="1">
      <c r="A19" s="19">
        <v>234</v>
      </c>
      <c r="B19" s="5" t="s">
        <v>149</v>
      </c>
      <c r="C19" s="5" t="s">
        <v>27</v>
      </c>
      <c r="D19" s="5" t="s">
        <v>100</v>
      </c>
      <c r="E19" s="11">
        <v>76</v>
      </c>
      <c r="F19" s="12" t="s">
        <v>4</v>
      </c>
      <c r="G19" s="11">
        <v>3</v>
      </c>
      <c r="H19" s="11"/>
      <c r="I19" s="6" t="str">
        <f t="shared" si="0"/>
        <v>yokkkk</v>
      </c>
      <c r="J19" s="21"/>
      <c r="K19" s="22"/>
      <c r="L19" s="21"/>
      <c r="M19" s="21"/>
    </row>
    <row r="20" spans="1:13" ht="17.25" customHeight="1">
      <c r="A20" s="19">
        <v>58</v>
      </c>
      <c r="B20" s="5" t="s">
        <v>62</v>
      </c>
      <c r="C20" s="5" t="s">
        <v>63</v>
      </c>
      <c r="D20" s="5" t="s">
        <v>64</v>
      </c>
      <c r="E20" s="11">
        <v>9</v>
      </c>
      <c r="F20" s="12" t="s">
        <v>537</v>
      </c>
      <c r="G20" s="11">
        <v>2</v>
      </c>
      <c r="H20" s="11"/>
      <c r="I20" s="6" t="str">
        <f t="shared" si="0"/>
        <v>yokkkk</v>
      </c>
      <c r="J20" s="21"/>
      <c r="K20" s="22"/>
      <c r="L20" s="21"/>
      <c r="M20" s="21"/>
    </row>
    <row r="21" spans="1:13" ht="17.25" customHeight="1">
      <c r="A21" s="19">
        <v>58</v>
      </c>
      <c r="B21" s="5" t="s">
        <v>62</v>
      </c>
      <c r="C21" s="5" t="s">
        <v>63</v>
      </c>
      <c r="D21" s="5" t="s">
        <v>64</v>
      </c>
      <c r="E21" s="11">
        <v>10</v>
      </c>
      <c r="F21" s="12" t="s">
        <v>538</v>
      </c>
      <c r="G21" s="11">
        <v>4</v>
      </c>
      <c r="H21" s="11"/>
      <c r="I21" s="6" t="str">
        <f t="shared" si="0"/>
        <v>yokkkk</v>
      </c>
      <c r="J21" s="21"/>
      <c r="K21" s="22"/>
      <c r="L21" s="21"/>
      <c r="M21" s="21"/>
    </row>
    <row r="22" spans="1:13" ht="17.25" customHeight="1">
      <c r="A22" s="19">
        <v>58</v>
      </c>
      <c r="B22" s="5" t="s">
        <v>62</v>
      </c>
      <c r="C22" s="5" t="s">
        <v>63</v>
      </c>
      <c r="D22" s="5" t="s">
        <v>64</v>
      </c>
      <c r="E22" s="11">
        <v>11</v>
      </c>
      <c r="F22" s="12" t="s">
        <v>539</v>
      </c>
      <c r="G22" s="11">
        <v>3</v>
      </c>
      <c r="H22" s="11"/>
      <c r="I22" s="6" t="str">
        <f t="shared" si="0"/>
        <v>yokkkk</v>
      </c>
      <c r="J22" s="21"/>
      <c r="K22" s="22"/>
      <c r="L22" s="21"/>
      <c r="M22" s="21"/>
    </row>
    <row r="23" spans="1:13" ht="17.25" customHeight="1">
      <c r="A23" s="19">
        <v>58</v>
      </c>
      <c r="B23" s="5" t="s">
        <v>62</v>
      </c>
      <c r="C23" s="5" t="s">
        <v>63</v>
      </c>
      <c r="D23" s="5" t="s">
        <v>64</v>
      </c>
      <c r="E23" s="11">
        <v>31</v>
      </c>
      <c r="F23" s="12" t="s">
        <v>946</v>
      </c>
      <c r="G23" s="11">
        <v>1</v>
      </c>
      <c r="H23" s="11"/>
      <c r="I23" s="6" t="str">
        <f t="shared" si="0"/>
        <v>yokkkk</v>
      </c>
      <c r="J23" s="21"/>
      <c r="K23" s="22"/>
      <c r="L23" s="21"/>
      <c r="M23" s="21"/>
    </row>
    <row r="24" spans="1:13" ht="17.25" customHeight="1">
      <c r="A24" s="19">
        <v>58</v>
      </c>
      <c r="B24" s="5" t="s">
        <v>62</v>
      </c>
      <c r="C24" s="5" t="s">
        <v>63</v>
      </c>
      <c r="D24" s="5" t="s">
        <v>64</v>
      </c>
      <c r="E24" s="11">
        <v>54</v>
      </c>
      <c r="F24" s="12" t="s">
        <v>533</v>
      </c>
      <c r="G24" s="11">
        <v>5</v>
      </c>
      <c r="H24" s="11"/>
      <c r="I24" s="6" t="str">
        <f t="shared" si="0"/>
        <v>yokkkk</v>
      </c>
      <c r="J24" s="21"/>
      <c r="K24" s="22"/>
      <c r="L24" s="21"/>
      <c r="M24" s="21"/>
    </row>
    <row r="25" spans="1:13" ht="17.25" customHeight="1">
      <c r="A25" s="19">
        <v>42</v>
      </c>
      <c r="B25" s="5" t="s">
        <v>15</v>
      </c>
      <c r="C25" s="5" t="s">
        <v>230</v>
      </c>
      <c r="D25" s="5" t="s">
        <v>61</v>
      </c>
      <c r="E25" s="11">
        <v>10</v>
      </c>
      <c r="F25" s="12" t="s">
        <v>538</v>
      </c>
      <c r="G25" s="11">
        <v>5</v>
      </c>
      <c r="H25" s="11"/>
      <c r="I25" s="6" t="str">
        <f t="shared" si="0"/>
        <v>yokkkk</v>
      </c>
      <c r="J25" s="21"/>
      <c r="K25" s="22"/>
      <c r="L25" s="21"/>
      <c r="M25" s="21"/>
    </row>
    <row r="26" spans="1:13" ht="17.25" customHeight="1">
      <c r="A26" s="19">
        <v>42</v>
      </c>
      <c r="B26" s="5" t="s">
        <v>15</v>
      </c>
      <c r="C26" s="5" t="s">
        <v>230</v>
      </c>
      <c r="D26" s="5" t="s">
        <v>61</v>
      </c>
      <c r="E26" s="11">
        <v>27</v>
      </c>
      <c r="F26" s="12" t="s">
        <v>569</v>
      </c>
      <c r="G26" s="11">
        <v>3</v>
      </c>
      <c r="H26" s="11"/>
      <c r="I26" s="6" t="str">
        <f t="shared" si="0"/>
        <v>yokkkk</v>
      </c>
      <c r="J26" s="21"/>
      <c r="K26" s="22"/>
      <c r="L26" s="21"/>
      <c r="M26" s="21"/>
    </row>
    <row r="27" spans="1:13" ht="17.25" customHeight="1">
      <c r="A27" s="19">
        <v>42</v>
      </c>
      <c r="B27" s="5" t="s">
        <v>15</v>
      </c>
      <c r="C27" s="5" t="s">
        <v>230</v>
      </c>
      <c r="D27" s="5" t="s">
        <v>61</v>
      </c>
      <c r="E27" s="11">
        <v>28</v>
      </c>
      <c r="F27" s="12" t="s">
        <v>570</v>
      </c>
      <c r="G27" s="11">
        <v>4</v>
      </c>
      <c r="H27" s="11"/>
      <c r="I27" s="6" t="str">
        <f t="shared" si="0"/>
        <v>yokkkk</v>
      </c>
      <c r="J27" s="21"/>
      <c r="K27" s="22"/>
      <c r="L27" s="21"/>
      <c r="M27" s="21"/>
    </row>
    <row r="28" spans="1:13" ht="17.25" customHeight="1">
      <c r="A28" s="19">
        <v>42</v>
      </c>
      <c r="B28" s="5" t="s">
        <v>15</v>
      </c>
      <c r="C28" s="5" t="s">
        <v>230</v>
      </c>
      <c r="D28" s="5" t="s">
        <v>61</v>
      </c>
      <c r="E28" s="11">
        <v>81</v>
      </c>
      <c r="F28" s="12" t="s">
        <v>546</v>
      </c>
      <c r="G28" s="11">
        <v>1</v>
      </c>
      <c r="H28" s="11"/>
      <c r="I28" s="6" t="str">
        <f t="shared" si="0"/>
        <v>yokkkk</v>
      </c>
      <c r="J28" s="21"/>
      <c r="K28" s="22"/>
      <c r="L28" s="21"/>
      <c r="M28" s="21"/>
    </row>
    <row r="29" spans="1:13" ht="17.25" customHeight="1">
      <c r="A29" s="19">
        <v>42</v>
      </c>
      <c r="B29" s="5" t="s">
        <v>15</v>
      </c>
      <c r="C29" s="5" t="s">
        <v>230</v>
      </c>
      <c r="D29" s="5" t="s">
        <v>61</v>
      </c>
      <c r="E29" s="11">
        <v>85</v>
      </c>
      <c r="F29" s="12" t="s">
        <v>580</v>
      </c>
      <c r="G29" s="11">
        <v>2</v>
      </c>
      <c r="H29" s="11"/>
      <c r="I29" s="6" t="str">
        <f t="shared" si="0"/>
        <v>yokkkk</v>
      </c>
      <c r="J29" s="21"/>
      <c r="K29" s="22"/>
      <c r="L29" s="21"/>
      <c r="M29" s="21"/>
    </row>
    <row r="30" spans="1:13" ht="17.25" customHeight="1">
      <c r="A30" s="19">
        <v>103</v>
      </c>
      <c r="B30" s="5" t="s">
        <v>92</v>
      </c>
      <c r="C30" s="5" t="s">
        <v>741</v>
      </c>
      <c r="D30" s="5" t="s">
        <v>742</v>
      </c>
      <c r="E30" s="11">
        <v>33</v>
      </c>
      <c r="F30" s="12" t="s">
        <v>5</v>
      </c>
      <c r="G30" s="11">
        <v>1</v>
      </c>
      <c r="H30" s="11"/>
      <c r="I30" s="6" t="str">
        <f t="shared" si="0"/>
        <v>yokkkk</v>
      </c>
      <c r="J30" s="21"/>
      <c r="K30" s="22"/>
      <c r="L30" s="21"/>
      <c r="M30" s="21"/>
    </row>
    <row r="31" spans="1:13" ht="17.25" customHeight="1">
      <c r="A31" s="19">
        <v>103</v>
      </c>
      <c r="B31" s="5" t="s">
        <v>92</v>
      </c>
      <c r="C31" s="5" t="s">
        <v>741</v>
      </c>
      <c r="D31" s="5" t="s">
        <v>742</v>
      </c>
      <c r="E31" s="11">
        <v>43</v>
      </c>
      <c r="F31" s="12" t="s">
        <v>10</v>
      </c>
      <c r="G31" s="11">
        <v>2</v>
      </c>
      <c r="H31" s="11"/>
      <c r="I31" s="6" t="str">
        <f t="shared" si="0"/>
        <v>yokkkk</v>
      </c>
      <c r="J31" s="21"/>
      <c r="K31" s="22"/>
      <c r="L31" s="21"/>
      <c r="M31" s="21"/>
    </row>
    <row r="32" spans="1:13" ht="17.25" customHeight="1">
      <c r="A32" s="19">
        <v>103</v>
      </c>
      <c r="B32" s="5" t="s">
        <v>92</v>
      </c>
      <c r="C32" s="5" t="s">
        <v>741</v>
      </c>
      <c r="D32" s="5" t="s">
        <v>742</v>
      </c>
      <c r="E32" s="11">
        <v>55</v>
      </c>
      <c r="F32" s="12" t="s">
        <v>238</v>
      </c>
      <c r="G32" s="11">
        <v>3</v>
      </c>
      <c r="H32" s="11"/>
      <c r="I32" s="6" t="str">
        <f t="shared" si="0"/>
        <v>yokkkk</v>
      </c>
      <c r="J32" s="21"/>
      <c r="K32" s="22"/>
      <c r="L32" s="21"/>
      <c r="M32" s="21"/>
    </row>
    <row r="33" spans="1:13" ht="17.25" customHeight="1">
      <c r="A33" s="19">
        <v>103</v>
      </c>
      <c r="B33" s="5" t="s">
        <v>92</v>
      </c>
      <c r="C33" s="5" t="s">
        <v>741</v>
      </c>
      <c r="D33" s="5" t="s">
        <v>742</v>
      </c>
      <c r="E33" s="11">
        <v>84</v>
      </c>
      <c r="F33" s="12" t="s">
        <v>237</v>
      </c>
      <c r="G33" s="11">
        <v>5</v>
      </c>
      <c r="H33" s="11"/>
      <c r="I33" s="6" t="str">
        <f t="shared" si="0"/>
        <v>yokkkk</v>
      </c>
      <c r="J33" s="21"/>
      <c r="K33" s="22"/>
      <c r="L33" s="21"/>
      <c r="M33" s="21"/>
    </row>
    <row r="34" spans="1:13" ht="17.25" customHeight="1">
      <c r="A34" s="19">
        <v>103</v>
      </c>
      <c r="B34" s="5" t="s">
        <v>92</v>
      </c>
      <c r="C34" s="5" t="s">
        <v>741</v>
      </c>
      <c r="D34" s="5" t="s">
        <v>742</v>
      </c>
      <c r="E34" s="11">
        <v>97</v>
      </c>
      <c r="F34" s="12" t="s">
        <v>939</v>
      </c>
      <c r="G34" s="11">
        <v>4</v>
      </c>
      <c r="H34" s="11"/>
      <c r="I34" s="6" t="str">
        <f t="shared" si="0"/>
        <v>yokkkk</v>
      </c>
      <c r="J34" s="21"/>
      <c r="K34" s="22"/>
      <c r="L34" s="21"/>
      <c r="M34" s="21"/>
    </row>
    <row r="35" spans="1:13" ht="17.25" customHeight="1">
      <c r="A35" s="19">
        <v>12</v>
      </c>
      <c r="B35" s="5" t="s">
        <v>19</v>
      </c>
      <c r="C35" s="5" t="s">
        <v>627</v>
      </c>
      <c r="D35" s="5" t="s">
        <v>90</v>
      </c>
      <c r="E35" s="11">
        <v>35</v>
      </c>
      <c r="F35" s="12" t="s">
        <v>556</v>
      </c>
      <c r="G35" s="11">
        <v>1</v>
      </c>
      <c r="H35" s="11"/>
      <c r="I35" s="6" t="str">
        <f t="shared" si="0"/>
        <v>yokkkk</v>
      </c>
      <c r="J35" s="21"/>
      <c r="K35" s="22"/>
      <c r="L35" s="21"/>
      <c r="M35" s="21"/>
    </row>
    <row r="36" spans="1:13" ht="17.25" customHeight="1">
      <c r="A36" s="19">
        <v>12</v>
      </c>
      <c r="B36" s="5" t="s">
        <v>19</v>
      </c>
      <c r="C36" s="5" t="s">
        <v>627</v>
      </c>
      <c r="D36" s="5" t="s">
        <v>90</v>
      </c>
      <c r="E36" s="11">
        <v>38</v>
      </c>
      <c r="F36" s="12" t="s">
        <v>534</v>
      </c>
      <c r="G36" s="11">
        <v>2</v>
      </c>
      <c r="H36" s="11"/>
      <c r="I36" s="6" t="str">
        <f t="shared" si="0"/>
        <v>yokkkk</v>
      </c>
      <c r="J36" s="21"/>
      <c r="K36" s="22"/>
      <c r="L36" s="21"/>
      <c r="M36" s="21"/>
    </row>
    <row r="37" spans="1:13" ht="17.25" customHeight="1">
      <c r="A37" s="19">
        <v>12</v>
      </c>
      <c r="B37" s="5" t="s">
        <v>19</v>
      </c>
      <c r="C37" s="5" t="s">
        <v>627</v>
      </c>
      <c r="D37" s="5" t="s">
        <v>90</v>
      </c>
      <c r="E37" s="11">
        <v>50</v>
      </c>
      <c r="F37" s="12" t="s">
        <v>559</v>
      </c>
      <c r="G37" s="11">
        <v>3</v>
      </c>
      <c r="H37" s="11"/>
      <c r="I37" s="6" t="str">
        <f t="shared" si="0"/>
        <v>yokkkk</v>
      </c>
      <c r="J37" s="21"/>
      <c r="K37" s="22"/>
      <c r="L37" s="21"/>
      <c r="M37" s="21"/>
    </row>
    <row r="38" spans="1:13" ht="17.25" customHeight="1">
      <c r="A38" s="19">
        <v>12</v>
      </c>
      <c r="B38" s="5" t="s">
        <v>19</v>
      </c>
      <c r="C38" s="5" t="s">
        <v>627</v>
      </c>
      <c r="D38" s="5" t="s">
        <v>90</v>
      </c>
      <c r="E38" s="11">
        <v>85</v>
      </c>
      <c r="F38" s="12" t="s">
        <v>580</v>
      </c>
      <c r="G38" s="11">
        <v>4</v>
      </c>
      <c r="H38" s="11"/>
      <c r="I38" s="6" t="str">
        <f t="shared" si="0"/>
        <v>yokkkk</v>
      </c>
      <c r="J38" s="21"/>
      <c r="K38" s="22"/>
      <c r="L38" s="21"/>
      <c r="M38" s="21"/>
    </row>
    <row r="39" spans="1:13" ht="17.25" customHeight="1">
      <c r="A39" s="19">
        <v>12</v>
      </c>
      <c r="B39" s="5" t="s">
        <v>19</v>
      </c>
      <c r="C39" s="5" t="s">
        <v>627</v>
      </c>
      <c r="D39" s="5" t="s">
        <v>90</v>
      </c>
      <c r="E39" s="11">
        <v>90</v>
      </c>
      <c r="F39" s="12" t="s">
        <v>532</v>
      </c>
      <c r="G39" s="11">
        <v>5</v>
      </c>
      <c r="H39" s="11"/>
      <c r="I39" s="6" t="str">
        <f t="shared" si="0"/>
        <v>yokkkk</v>
      </c>
      <c r="J39" s="21"/>
      <c r="K39" s="22"/>
      <c r="L39" s="21"/>
      <c r="M39" s="21"/>
    </row>
    <row r="40" spans="1:13" ht="17.25" customHeight="1">
      <c r="A40" s="19">
        <v>1</v>
      </c>
      <c r="B40" s="5" t="s">
        <v>11</v>
      </c>
      <c r="C40" s="5" t="s">
        <v>242</v>
      </c>
      <c r="D40" s="5" t="s">
        <v>243</v>
      </c>
      <c r="E40" s="11">
        <v>9</v>
      </c>
      <c r="F40" s="12" t="s">
        <v>537</v>
      </c>
      <c r="G40" s="11">
        <v>3</v>
      </c>
      <c r="H40" s="11"/>
      <c r="I40" s="6" t="str">
        <f t="shared" si="0"/>
        <v>yokkkk</v>
      </c>
      <c r="J40" s="21"/>
      <c r="K40" s="22"/>
      <c r="L40" s="21"/>
      <c r="M40" s="21"/>
    </row>
    <row r="41" spans="1:13" ht="17.25" customHeight="1">
      <c r="A41" s="19">
        <v>1</v>
      </c>
      <c r="B41" s="5" t="s">
        <v>11</v>
      </c>
      <c r="C41" s="5" t="s">
        <v>242</v>
      </c>
      <c r="D41" s="5" t="s">
        <v>243</v>
      </c>
      <c r="E41" s="11">
        <v>70</v>
      </c>
      <c r="F41" s="12" t="s">
        <v>535</v>
      </c>
      <c r="G41" s="11">
        <v>1</v>
      </c>
      <c r="H41" s="11"/>
      <c r="I41" s="6" t="str">
        <f t="shared" si="0"/>
        <v>yokkkk</v>
      </c>
      <c r="J41" s="21"/>
      <c r="K41" s="22"/>
      <c r="L41" s="21"/>
      <c r="M41" s="21"/>
    </row>
    <row r="42" spans="1:13" ht="17.25" customHeight="1">
      <c r="A42" s="19">
        <v>1</v>
      </c>
      <c r="B42" s="5" t="s">
        <v>11</v>
      </c>
      <c r="C42" s="5" t="s">
        <v>242</v>
      </c>
      <c r="D42" s="5" t="s">
        <v>243</v>
      </c>
      <c r="E42" s="11">
        <v>72</v>
      </c>
      <c r="F42" s="12" t="s">
        <v>582</v>
      </c>
      <c r="G42" s="11">
        <v>2</v>
      </c>
      <c r="H42" s="11"/>
      <c r="I42" s="6" t="str">
        <f t="shared" si="0"/>
        <v>yokkkk</v>
      </c>
      <c r="J42" s="21"/>
      <c r="K42" s="22"/>
      <c r="L42" s="21"/>
      <c r="M42" s="21"/>
    </row>
    <row r="43" spans="1:13" ht="17.25" customHeight="1">
      <c r="A43" s="19">
        <v>242</v>
      </c>
      <c r="B43" s="5" t="s">
        <v>151</v>
      </c>
      <c r="C43" s="5" t="s">
        <v>25</v>
      </c>
      <c r="D43" s="5" t="s">
        <v>46</v>
      </c>
      <c r="E43" s="11">
        <v>33</v>
      </c>
      <c r="F43" s="12" t="s">
        <v>5</v>
      </c>
      <c r="G43" s="11">
        <v>2</v>
      </c>
      <c r="H43" s="11"/>
      <c r="I43" s="6" t="str">
        <f t="shared" si="0"/>
        <v>yokkkk</v>
      </c>
      <c r="J43" s="21"/>
      <c r="K43" s="22"/>
      <c r="L43" s="21"/>
      <c r="M43" s="21"/>
    </row>
    <row r="44" spans="1:13" ht="17.25" customHeight="1">
      <c r="A44" s="19">
        <v>242</v>
      </c>
      <c r="B44" s="5" t="s">
        <v>151</v>
      </c>
      <c r="C44" s="5" t="s">
        <v>25</v>
      </c>
      <c r="D44" s="5" t="s">
        <v>46</v>
      </c>
      <c r="E44" s="11">
        <v>97</v>
      </c>
      <c r="F44" s="12" t="s">
        <v>939</v>
      </c>
      <c r="G44" s="11">
        <v>1</v>
      </c>
      <c r="H44" s="11"/>
      <c r="I44" s="6" t="str">
        <f t="shared" si="0"/>
        <v>yokkkk</v>
      </c>
      <c r="J44" s="21"/>
      <c r="K44" s="22"/>
      <c r="L44" s="21"/>
      <c r="M44" s="21"/>
    </row>
    <row r="45" spans="1:13" ht="17.25" customHeight="1">
      <c r="A45" s="19">
        <v>199</v>
      </c>
      <c r="B45" s="5" t="s">
        <v>133</v>
      </c>
      <c r="C45" s="5" t="s">
        <v>226</v>
      </c>
      <c r="D45" s="5" t="s">
        <v>227</v>
      </c>
      <c r="E45" s="11">
        <v>26</v>
      </c>
      <c r="F45" s="12" t="s">
        <v>947</v>
      </c>
      <c r="G45" s="11">
        <v>5</v>
      </c>
      <c r="H45" s="11"/>
      <c r="I45" s="6" t="str">
        <f t="shared" si="0"/>
        <v>yokkkk</v>
      </c>
      <c r="J45" s="21"/>
      <c r="K45" s="22"/>
      <c r="L45" s="21"/>
      <c r="M45" s="21"/>
    </row>
    <row r="46" spans="1:13" ht="17.25" customHeight="1">
      <c r="A46" s="19">
        <v>199</v>
      </c>
      <c r="B46" s="5" t="s">
        <v>133</v>
      </c>
      <c r="C46" s="5" t="s">
        <v>226</v>
      </c>
      <c r="D46" s="5" t="s">
        <v>227</v>
      </c>
      <c r="E46" s="11">
        <v>80</v>
      </c>
      <c r="F46" s="12" t="s">
        <v>945</v>
      </c>
      <c r="G46" s="11">
        <v>1</v>
      </c>
      <c r="H46" s="11"/>
      <c r="I46" s="6" t="str">
        <f t="shared" si="0"/>
        <v>yokkkk</v>
      </c>
      <c r="J46" s="21"/>
      <c r="K46" s="22"/>
      <c r="L46" s="21"/>
      <c r="M46" s="21"/>
    </row>
    <row r="47" spans="1:13" ht="17.25" customHeight="1">
      <c r="A47" s="19">
        <v>199</v>
      </c>
      <c r="B47" s="5" t="s">
        <v>133</v>
      </c>
      <c r="C47" s="5" t="s">
        <v>226</v>
      </c>
      <c r="D47" s="5" t="s">
        <v>227</v>
      </c>
      <c r="E47" s="11">
        <v>81</v>
      </c>
      <c r="F47" s="12" t="s">
        <v>546</v>
      </c>
      <c r="G47" s="11">
        <v>3</v>
      </c>
      <c r="H47" s="11"/>
      <c r="I47" s="6" t="str">
        <f t="shared" si="0"/>
        <v>yokkkk</v>
      </c>
      <c r="J47" s="21"/>
      <c r="K47" s="22"/>
      <c r="L47" s="21"/>
      <c r="M47" s="21"/>
    </row>
    <row r="48" spans="1:13" ht="17.25" customHeight="1">
      <c r="A48" s="19">
        <v>199</v>
      </c>
      <c r="B48" s="5" t="s">
        <v>133</v>
      </c>
      <c r="C48" s="5" t="s">
        <v>226</v>
      </c>
      <c r="D48" s="5" t="s">
        <v>227</v>
      </c>
      <c r="E48" s="11">
        <v>84</v>
      </c>
      <c r="F48" s="12" t="s">
        <v>237</v>
      </c>
      <c r="G48" s="11">
        <v>2</v>
      </c>
      <c r="H48" s="11"/>
      <c r="I48" s="6" t="str">
        <f t="shared" si="0"/>
        <v>yokkkk</v>
      </c>
      <c r="J48" s="21"/>
      <c r="K48" s="22"/>
      <c r="L48" s="21"/>
      <c r="M48" s="21"/>
    </row>
    <row r="49" spans="1:13" ht="17.25" customHeight="1">
      <c r="A49" s="19">
        <v>199</v>
      </c>
      <c r="B49" s="5" t="s">
        <v>133</v>
      </c>
      <c r="C49" s="5" t="s">
        <v>226</v>
      </c>
      <c r="D49" s="5" t="s">
        <v>227</v>
      </c>
      <c r="E49" s="11">
        <v>85</v>
      </c>
      <c r="F49" s="12" t="s">
        <v>580</v>
      </c>
      <c r="G49" s="11">
        <v>4</v>
      </c>
      <c r="H49" s="11"/>
      <c r="I49" s="6" t="str">
        <f t="shared" si="0"/>
        <v>yokkkk</v>
      </c>
      <c r="J49" s="21"/>
      <c r="K49" s="22"/>
      <c r="L49" s="21"/>
      <c r="M49" s="21"/>
    </row>
    <row r="50" spans="1:13" ht="17.25" customHeight="1">
      <c r="A50" s="19">
        <v>40</v>
      </c>
      <c r="B50" s="5" t="s">
        <v>15</v>
      </c>
      <c r="C50" s="5" t="s">
        <v>656</v>
      </c>
      <c r="D50" s="5" t="s">
        <v>657</v>
      </c>
      <c r="E50" s="11">
        <v>26</v>
      </c>
      <c r="F50" s="12" t="s">
        <v>947</v>
      </c>
      <c r="G50" s="11">
        <v>1</v>
      </c>
      <c r="H50" s="11"/>
      <c r="I50" s="6" t="str">
        <f t="shared" si="0"/>
        <v>yokkkk</v>
      </c>
      <c r="J50" s="21"/>
      <c r="K50" s="22"/>
      <c r="L50" s="21"/>
      <c r="M50" s="21"/>
    </row>
    <row r="51" spans="1:13" ht="17.25" customHeight="1">
      <c r="A51" s="19">
        <v>262</v>
      </c>
      <c r="B51" s="5" t="s">
        <v>159</v>
      </c>
      <c r="C51" s="5" t="s">
        <v>362</v>
      </c>
      <c r="D51" s="5" t="s">
        <v>40</v>
      </c>
      <c r="E51" s="11">
        <v>18</v>
      </c>
      <c r="F51" s="12" t="s">
        <v>9</v>
      </c>
      <c r="G51" s="11">
        <v>3</v>
      </c>
      <c r="H51" s="11"/>
      <c r="I51" s="6" t="str">
        <f t="shared" si="0"/>
        <v>yokkkk</v>
      </c>
      <c r="J51" s="21"/>
      <c r="K51" s="22"/>
      <c r="L51" s="21"/>
      <c r="M51" s="21"/>
    </row>
    <row r="52" spans="1:13" ht="17.25" customHeight="1">
      <c r="A52" s="19">
        <v>262</v>
      </c>
      <c r="B52" s="5" t="s">
        <v>159</v>
      </c>
      <c r="C52" s="5" t="s">
        <v>362</v>
      </c>
      <c r="D52" s="5" t="s">
        <v>40</v>
      </c>
      <c r="E52" s="11">
        <v>22</v>
      </c>
      <c r="F52" s="12" t="s">
        <v>956</v>
      </c>
      <c r="G52" s="11">
        <v>2</v>
      </c>
      <c r="H52" s="11"/>
      <c r="I52" s="6" t="str">
        <f t="shared" si="0"/>
        <v>yokkkk</v>
      </c>
      <c r="J52" s="21"/>
      <c r="K52" s="22"/>
      <c r="L52" s="21"/>
      <c r="M52" s="21"/>
    </row>
    <row r="53" spans="1:13" ht="17.25" customHeight="1">
      <c r="A53" s="19">
        <v>262</v>
      </c>
      <c r="B53" s="5" t="s">
        <v>159</v>
      </c>
      <c r="C53" s="5" t="s">
        <v>362</v>
      </c>
      <c r="D53" s="5" t="s">
        <v>40</v>
      </c>
      <c r="E53" s="11">
        <v>26</v>
      </c>
      <c r="F53" s="12" t="s">
        <v>947</v>
      </c>
      <c r="G53" s="11">
        <v>4</v>
      </c>
      <c r="H53" s="11"/>
      <c r="I53" s="6" t="str">
        <f t="shared" si="0"/>
        <v>yokkkk</v>
      </c>
      <c r="J53" s="21"/>
      <c r="K53" s="22"/>
      <c r="L53" s="21"/>
      <c r="M53" s="21"/>
    </row>
    <row r="54" spans="1:13" ht="17.25" customHeight="1">
      <c r="A54" s="19">
        <v>262</v>
      </c>
      <c r="B54" s="5" t="s">
        <v>159</v>
      </c>
      <c r="C54" s="5" t="s">
        <v>362</v>
      </c>
      <c r="D54" s="5" t="s">
        <v>40</v>
      </c>
      <c r="E54" s="11">
        <v>31</v>
      </c>
      <c r="F54" s="12" t="s">
        <v>946</v>
      </c>
      <c r="G54" s="11">
        <v>5</v>
      </c>
      <c r="H54" s="11"/>
      <c r="I54" s="6" t="str">
        <f t="shared" si="0"/>
        <v>yokkkk</v>
      </c>
      <c r="J54" s="21"/>
      <c r="K54" s="22"/>
      <c r="L54" s="21"/>
      <c r="M54" s="21"/>
    </row>
    <row r="55" spans="1:13" ht="17.25" customHeight="1">
      <c r="A55" s="19">
        <v>262</v>
      </c>
      <c r="B55" s="5" t="s">
        <v>159</v>
      </c>
      <c r="C55" s="5" t="s">
        <v>362</v>
      </c>
      <c r="D55" s="5" t="s">
        <v>40</v>
      </c>
      <c r="E55" s="11">
        <v>57</v>
      </c>
      <c r="F55" s="12" t="s">
        <v>552</v>
      </c>
      <c r="G55" s="11">
        <v>1</v>
      </c>
      <c r="H55" s="11"/>
      <c r="I55" s="6" t="str">
        <f t="shared" si="0"/>
        <v>yokkkk</v>
      </c>
      <c r="J55" s="21"/>
      <c r="K55" s="22"/>
      <c r="L55" s="21"/>
      <c r="M55" s="21"/>
    </row>
    <row r="56" spans="1:13" ht="17.25" customHeight="1">
      <c r="A56" s="19">
        <v>31</v>
      </c>
      <c r="B56" s="5" t="s">
        <v>31</v>
      </c>
      <c r="C56" s="5" t="s">
        <v>126</v>
      </c>
      <c r="D56" s="5" t="s">
        <v>647</v>
      </c>
      <c r="E56" s="11">
        <v>64</v>
      </c>
      <c r="F56" s="12" t="s">
        <v>577</v>
      </c>
      <c r="G56" s="11">
        <v>1</v>
      </c>
      <c r="H56" s="11"/>
      <c r="I56" s="6" t="str">
        <f t="shared" si="0"/>
        <v>yokkkk</v>
      </c>
      <c r="J56" s="21"/>
      <c r="K56" s="22"/>
      <c r="L56" s="21"/>
      <c r="M56" s="21"/>
    </row>
    <row r="57" spans="1:13" ht="17.25" customHeight="1">
      <c r="A57" s="19">
        <v>31</v>
      </c>
      <c r="B57" s="5" t="s">
        <v>31</v>
      </c>
      <c r="C57" s="5" t="s">
        <v>126</v>
      </c>
      <c r="D57" s="5" t="s">
        <v>647</v>
      </c>
      <c r="E57" s="11">
        <v>65</v>
      </c>
      <c r="F57" s="12" t="s">
        <v>578</v>
      </c>
      <c r="G57" s="11">
        <v>5</v>
      </c>
      <c r="H57" s="11"/>
      <c r="I57" s="6" t="str">
        <f t="shared" si="0"/>
        <v>yokkkk</v>
      </c>
      <c r="J57" s="21"/>
      <c r="K57" s="22"/>
      <c r="L57" s="21"/>
      <c r="M57" s="21"/>
    </row>
    <row r="58" spans="1:13" ht="17.25" customHeight="1">
      <c r="A58" s="19">
        <v>31</v>
      </c>
      <c r="B58" s="5" t="s">
        <v>31</v>
      </c>
      <c r="C58" s="5" t="s">
        <v>126</v>
      </c>
      <c r="D58" s="5" t="s">
        <v>647</v>
      </c>
      <c r="E58" s="11">
        <v>66</v>
      </c>
      <c r="F58" s="12" t="s">
        <v>958</v>
      </c>
      <c r="G58" s="11">
        <v>4</v>
      </c>
      <c r="H58" s="11"/>
      <c r="I58" s="6" t="str">
        <f t="shared" si="0"/>
        <v>yokkkk</v>
      </c>
      <c r="J58" s="21"/>
      <c r="K58" s="22"/>
      <c r="L58" s="21"/>
      <c r="M58" s="21"/>
    </row>
    <row r="59" spans="1:13" ht="17.25" customHeight="1">
      <c r="A59" s="19">
        <v>31</v>
      </c>
      <c r="B59" s="5" t="s">
        <v>31</v>
      </c>
      <c r="C59" s="5" t="s">
        <v>126</v>
      </c>
      <c r="D59" s="5" t="s">
        <v>647</v>
      </c>
      <c r="E59" s="11">
        <v>82</v>
      </c>
      <c r="F59" s="12" t="s">
        <v>547</v>
      </c>
      <c r="G59" s="11">
        <v>3</v>
      </c>
      <c r="H59" s="11"/>
      <c r="I59" s="6" t="str">
        <f t="shared" si="0"/>
        <v>yokkkk</v>
      </c>
      <c r="J59" s="21"/>
      <c r="K59" s="22"/>
      <c r="L59" s="21"/>
      <c r="M59" s="21"/>
    </row>
    <row r="60" spans="1:13" ht="17.25" customHeight="1">
      <c r="A60" s="19">
        <v>31</v>
      </c>
      <c r="B60" s="5" t="s">
        <v>31</v>
      </c>
      <c r="C60" s="5" t="s">
        <v>126</v>
      </c>
      <c r="D60" s="5" t="s">
        <v>647</v>
      </c>
      <c r="E60" s="11">
        <v>97</v>
      </c>
      <c r="F60" s="12" t="s">
        <v>939</v>
      </c>
      <c r="G60" s="11">
        <v>2</v>
      </c>
      <c r="H60" s="11"/>
      <c r="I60" s="6" t="str">
        <f t="shared" si="0"/>
        <v>yokkkk</v>
      </c>
      <c r="J60" s="21"/>
      <c r="K60" s="22"/>
      <c r="L60" s="21"/>
      <c r="M60" s="21"/>
    </row>
    <row r="61" spans="1:13" ht="17.25" customHeight="1">
      <c r="A61" s="19">
        <v>2</v>
      </c>
      <c r="B61" s="5" t="s">
        <v>11</v>
      </c>
      <c r="C61" s="5" t="s">
        <v>616</v>
      </c>
      <c r="D61" s="5" t="s">
        <v>131</v>
      </c>
      <c r="E61" s="11">
        <v>26</v>
      </c>
      <c r="F61" s="12" t="s">
        <v>947</v>
      </c>
      <c r="G61" s="11">
        <v>1</v>
      </c>
      <c r="H61" s="11"/>
      <c r="I61" s="6" t="str">
        <f t="shared" si="0"/>
        <v>yokkkk</v>
      </c>
      <c r="J61" s="21"/>
      <c r="K61" s="22"/>
      <c r="L61" s="21"/>
      <c r="M61" s="21"/>
    </row>
    <row r="62" spans="1:13" ht="17.25" customHeight="1">
      <c r="A62" s="19">
        <v>241</v>
      </c>
      <c r="B62" s="5" t="s">
        <v>151</v>
      </c>
      <c r="C62" s="5" t="s">
        <v>348</v>
      </c>
      <c r="D62" s="5" t="s">
        <v>349</v>
      </c>
      <c r="E62" s="11">
        <v>9</v>
      </c>
      <c r="F62" s="12" t="s">
        <v>537</v>
      </c>
      <c r="G62" s="11">
        <v>2</v>
      </c>
      <c r="H62" s="11"/>
      <c r="I62" s="6" t="str">
        <f t="shared" si="0"/>
        <v>yokkkk</v>
      </c>
      <c r="J62" s="21"/>
      <c r="K62" s="22"/>
      <c r="L62" s="21"/>
      <c r="M62" s="21"/>
    </row>
    <row r="63" spans="1:13" ht="17.25" customHeight="1">
      <c r="A63" s="19">
        <v>241</v>
      </c>
      <c r="B63" s="5" t="s">
        <v>151</v>
      </c>
      <c r="C63" s="5" t="s">
        <v>348</v>
      </c>
      <c r="D63" s="5" t="s">
        <v>349</v>
      </c>
      <c r="E63" s="11">
        <v>10</v>
      </c>
      <c r="F63" s="12" t="s">
        <v>538</v>
      </c>
      <c r="G63" s="11">
        <v>3</v>
      </c>
      <c r="H63" s="11"/>
      <c r="I63" s="6" t="str">
        <f t="shared" si="0"/>
        <v>yokkkk</v>
      </c>
      <c r="J63" s="21"/>
      <c r="K63" s="22"/>
      <c r="L63" s="21"/>
      <c r="M63" s="21"/>
    </row>
    <row r="64" spans="1:13" ht="17.25" customHeight="1">
      <c r="A64" s="19">
        <v>241</v>
      </c>
      <c r="B64" s="5" t="s">
        <v>151</v>
      </c>
      <c r="C64" s="5" t="s">
        <v>348</v>
      </c>
      <c r="D64" s="5" t="s">
        <v>349</v>
      </c>
      <c r="E64" s="11">
        <v>27</v>
      </c>
      <c r="F64" s="12" t="s">
        <v>569</v>
      </c>
      <c r="G64" s="11">
        <v>1</v>
      </c>
      <c r="H64" s="11"/>
      <c r="I64" s="6" t="str">
        <f t="shared" si="0"/>
        <v>yokkkk</v>
      </c>
      <c r="J64" s="21"/>
      <c r="K64" s="22"/>
      <c r="L64" s="21"/>
      <c r="M64" s="21"/>
    </row>
    <row r="65" spans="1:13" ht="17.25" customHeight="1">
      <c r="A65" s="19">
        <v>241</v>
      </c>
      <c r="B65" s="5" t="s">
        <v>151</v>
      </c>
      <c r="C65" s="5" t="s">
        <v>348</v>
      </c>
      <c r="D65" s="5" t="s">
        <v>349</v>
      </c>
      <c r="E65" s="11">
        <v>28</v>
      </c>
      <c r="F65" s="12" t="s">
        <v>570</v>
      </c>
      <c r="G65" s="11">
        <v>5</v>
      </c>
      <c r="H65" s="11"/>
      <c r="I65" s="6" t="str">
        <f t="shared" si="0"/>
        <v>yokkkk</v>
      </c>
      <c r="J65" s="21"/>
      <c r="K65" s="22"/>
      <c r="L65" s="21"/>
      <c r="M65" s="21"/>
    </row>
    <row r="66" spans="1:13" ht="17.25" customHeight="1">
      <c r="A66" s="19">
        <v>241</v>
      </c>
      <c r="B66" s="5" t="s">
        <v>151</v>
      </c>
      <c r="C66" s="5" t="s">
        <v>348</v>
      </c>
      <c r="D66" s="5" t="s">
        <v>349</v>
      </c>
      <c r="E66" s="11">
        <v>81</v>
      </c>
      <c r="F66" s="12" t="s">
        <v>546</v>
      </c>
      <c r="G66" s="11">
        <v>4</v>
      </c>
      <c r="H66" s="11"/>
      <c r="I66" s="6" t="str">
        <f t="shared" si="0"/>
        <v>yokkkk</v>
      </c>
      <c r="J66" s="21"/>
      <c r="K66" s="22"/>
      <c r="L66" s="21"/>
      <c r="M66" s="21"/>
    </row>
    <row r="67" spans="1:13" ht="17.25" customHeight="1">
      <c r="A67" s="19">
        <v>47</v>
      </c>
      <c r="B67" s="5" t="s">
        <v>44</v>
      </c>
      <c r="C67" s="5" t="s">
        <v>669</v>
      </c>
      <c r="D67" s="5" t="s">
        <v>670</v>
      </c>
      <c r="E67" s="11">
        <v>18</v>
      </c>
      <c r="F67" s="12" t="s">
        <v>9</v>
      </c>
      <c r="G67" s="11">
        <v>1</v>
      </c>
      <c r="H67" s="11"/>
      <c r="I67" s="6" t="str">
        <f t="shared" ref="I67:I130" si="1">IF(COUNTIF(J:J,A67)," var","yokkkk")</f>
        <v>yokkkk</v>
      </c>
      <c r="J67" s="21"/>
      <c r="K67" s="22"/>
      <c r="L67" s="21"/>
      <c r="M67" s="21"/>
    </row>
    <row r="68" spans="1:13" ht="17.25" customHeight="1">
      <c r="A68" s="19">
        <v>47</v>
      </c>
      <c r="B68" s="5" t="s">
        <v>44</v>
      </c>
      <c r="C68" s="5" t="s">
        <v>669</v>
      </c>
      <c r="D68" s="5" t="s">
        <v>670</v>
      </c>
      <c r="E68" s="11">
        <v>28</v>
      </c>
      <c r="F68" s="12" t="s">
        <v>570</v>
      </c>
      <c r="G68" s="11">
        <v>2</v>
      </c>
      <c r="H68" s="11"/>
      <c r="I68" s="6" t="str">
        <f t="shared" si="1"/>
        <v>yokkkk</v>
      </c>
      <c r="J68" s="21"/>
      <c r="K68" s="22"/>
      <c r="L68" s="21"/>
      <c r="M68" s="21"/>
    </row>
    <row r="69" spans="1:13" ht="17.25" customHeight="1">
      <c r="A69" s="19">
        <v>47</v>
      </c>
      <c r="B69" s="5" t="s">
        <v>44</v>
      </c>
      <c r="C69" s="5" t="s">
        <v>669</v>
      </c>
      <c r="D69" s="5" t="s">
        <v>670</v>
      </c>
      <c r="E69" s="11">
        <v>31</v>
      </c>
      <c r="F69" s="12" t="s">
        <v>946</v>
      </c>
      <c r="G69" s="11">
        <v>4</v>
      </c>
      <c r="H69" s="11"/>
      <c r="I69" s="6" t="str">
        <f t="shared" si="1"/>
        <v>yokkkk</v>
      </c>
      <c r="J69" s="21"/>
      <c r="K69" s="22"/>
      <c r="L69" s="21"/>
      <c r="M69" s="21"/>
    </row>
    <row r="70" spans="1:13" ht="17.25" customHeight="1">
      <c r="A70" s="19">
        <v>47</v>
      </c>
      <c r="B70" s="5" t="s">
        <v>44</v>
      </c>
      <c r="C70" s="5" t="s">
        <v>669</v>
      </c>
      <c r="D70" s="5" t="s">
        <v>670</v>
      </c>
      <c r="E70" s="11">
        <v>47</v>
      </c>
      <c r="F70" s="12" t="s">
        <v>944</v>
      </c>
      <c r="G70" s="11">
        <v>3</v>
      </c>
      <c r="H70" s="11"/>
      <c r="I70" s="6" t="str">
        <f t="shared" si="1"/>
        <v>yokkkk</v>
      </c>
      <c r="J70" s="21"/>
      <c r="K70" s="22"/>
      <c r="L70" s="21"/>
      <c r="M70" s="21"/>
    </row>
    <row r="71" spans="1:13" ht="17.25" customHeight="1">
      <c r="A71" s="19">
        <v>47</v>
      </c>
      <c r="B71" s="5" t="s">
        <v>44</v>
      </c>
      <c r="C71" s="5" t="s">
        <v>669</v>
      </c>
      <c r="D71" s="5" t="s">
        <v>670</v>
      </c>
      <c r="E71" s="11">
        <v>54</v>
      </c>
      <c r="F71" s="12" t="s">
        <v>533</v>
      </c>
      <c r="G71" s="11">
        <v>5</v>
      </c>
      <c r="H71" s="11"/>
      <c r="I71" s="6" t="str">
        <f t="shared" si="1"/>
        <v>yokkkk</v>
      </c>
      <c r="J71" s="21"/>
      <c r="K71" s="22"/>
      <c r="L71" s="21"/>
      <c r="M71" s="21"/>
    </row>
    <row r="72" spans="1:13" ht="17.25" customHeight="1">
      <c r="A72" s="19">
        <v>168</v>
      </c>
      <c r="B72" s="5" t="s">
        <v>111</v>
      </c>
      <c r="C72" s="5" t="s">
        <v>807</v>
      </c>
      <c r="D72" s="5" t="s">
        <v>306</v>
      </c>
      <c r="E72" s="11">
        <v>81</v>
      </c>
      <c r="F72" s="12" t="s">
        <v>546</v>
      </c>
      <c r="G72" s="11">
        <v>3</v>
      </c>
      <c r="H72" s="11"/>
      <c r="I72" s="6" t="str">
        <f t="shared" si="1"/>
        <v>yokkkk</v>
      </c>
      <c r="J72" s="21"/>
      <c r="K72" s="22"/>
      <c r="L72" s="21"/>
      <c r="M72" s="21"/>
    </row>
    <row r="73" spans="1:13" ht="17.25" customHeight="1">
      <c r="A73" s="19">
        <v>168</v>
      </c>
      <c r="B73" s="5" t="s">
        <v>111</v>
      </c>
      <c r="C73" s="5" t="s">
        <v>807</v>
      </c>
      <c r="D73" s="5" t="s">
        <v>306</v>
      </c>
      <c r="E73" s="11">
        <v>84</v>
      </c>
      <c r="F73" s="12" t="s">
        <v>237</v>
      </c>
      <c r="G73" s="11">
        <v>1</v>
      </c>
      <c r="H73" s="11"/>
      <c r="I73" s="6" t="str">
        <f t="shared" si="1"/>
        <v>yokkkk</v>
      </c>
      <c r="J73" s="21"/>
      <c r="K73" s="22"/>
      <c r="L73" s="21"/>
      <c r="M73" s="21"/>
    </row>
    <row r="74" spans="1:13" ht="17.25" customHeight="1">
      <c r="A74" s="19">
        <v>168</v>
      </c>
      <c r="B74" s="5" t="s">
        <v>111</v>
      </c>
      <c r="C74" s="5" t="s">
        <v>807</v>
      </c>
      <c r="D74" s="5" t="s">
        <v>306</v>
      </c>
      <c r="E74" s="11">
        <v>85</v>
      </c>
      <c r="F74" s="12" t="s">
        <v>580</v>
      </c>
      <c r="G74" s="11">
        <v>2</v>
      </c>
      <c r="H74" s="11"/>
      <c r="I74" s="6" t="str">
        <f t="shared" si="1"/>
        <v>yokkkk</v>
      </c>
      <c r="J74" s="21"/>
      <c r="K74" s="22"/>
      <c r="L74" s="21"/>
      <c r="M74" s="21"/>
    </row>
    <row r="75" spans="1:13" ht="17.25" customHeight="1">
      <c r="A75" s="19">
        <v>209</v>
      </c>
      <c r="B75" s="5" t="s">
        <v>136</v>
      </c>
      <c r="C75" s="5" t="s">
        <v>184</v>
      </c>
      <c r="D75" s="5" t="s">
        <v>329</v>
      </c>
      <c r="E75" s="11">
        <v>8</v>
      </c>
      <c r="F75" s="12" t="s">
        <v>565</v>
      </c>
      <c r="G75" s="11">
        <v>1</v>
      </c>
      <c r="H75" s="11"/>
      <c r="I75" s="6" t="str">
        <f t="shared" si="1"/>
        <v>yokkkk</v>
      </c>
      <c r="J75" s="21"/>
      <c r="K75" s="22"/>
      <c r="L75" s="21"/>
      <c r="M75" s="21"/>
    </row>
    <row r="76" spans="1:13" ht="17.25" customHeight="1">
      <c r="A76" s="19">
        <v>209</v>
      </c>
      <c r="B76" s="5" t="s">
        <v>136</v>
      </c>
      <c r="C76" s="5" t="s">
        <v>184</v>
      </c>
      <c r="D76" s="5" t="s">
        <v>329</v>
      </c>
      <c r="E76" s="11">
        <v>9</v>
      </c>
      <c r="F76" s="12" t="s">
        <v>537</v>
      </c>
      <c r="G76" s="11">
        <v>2</v>
      </c>
      <c r="H76" s="11"/>
      <c r="I76" s="6" t="str">
        <f t="shared" si="1"/>
        <v>yokkkk</v>
      </c>
      <c r="J76" s="21"/>
      <c r="K76" s="22"/>
      <c r="L76" s="21"/>
      <c r="M76" s="21"/>
    </row>
    <row r="77" spans="1:13" ht="17.25" customHeight="1">
      <c r="A77" s="19">
        <v>209</v>
      </c>
      <c r="B77" s="5" t="s">
        <v>136</v>
      </c>
      <c r="C77" s="5" t="s">
        <v>184</v>
      </c>
      <c r="D77" s="5" t="s">
        <v>329</v>
      </c>
      <c r="E77" s="11">
        <v>11</v>
      </c>
      <c r="F77" s="12" t="s">
        <v>539</v>
      </c>
      <c r="G77" s="11">
        <v>5</v>
      </c>
      <c r="H77" s="11"/>
      <c r="I77" s="6" t="str">
        <f t="shared" si="1"/>
        <v>yokkkk</v>
      </c>
      <c r="J77" s="21"/>
      <c r="K77" s="22"/>
      <c r="L77" s="21"/>
      <c r="M77" s="21"/>
    </row>
    <row r="78" spans="1:13" ht="17.25" customHeight="1">
      <c r="A78" s="19">
        <v>209</v>
      </c>
      <c r="B78" s="5" t="s">
        <v>136</v>
      </c>
      <c r="C78" s="5" t="s">
        <v>184</v>
      </c>
      <c r="D78" s="5" t="s">
        <v>329</v>
      </c>
      <c r="E78" s="11">
        <v>15</v>
      </c>
      <c r="F78" s="12" t="s">
        <v>543</v>
      </c>
      <c r="G78" s="11">
        <v>4</v>
      </c>
      <c r="H78" s="11"/>
      <c r="I78" s="6" t="str">
        <f t="shared" si="1"/>
        <v>yokkkk</v>
      </c>
      <c r="J78" s="21"/>
      <c r="K78" s="22"/>
      <c r="L78" s="21"/>
      <c r="M78" s="21"/>
    </row>
    <row r="79" spans="1:13" ht="17.25" customHeight="1">
      <c r="A79" s="19">
        <v>209</v>
      </c>
      <c r="B79" s="5" t="s">
        <v>136</v>
      </c>
      <c r="C79" s="5" t="s">
        <v>184</v>
      </c>
      <c r="D79" s="5" t="s">
        <v>329</v>
      </c>
      <c r="E79" s="11">
        <v>16</v>
      </c>
      <c r="F79" s="12" t="s">
        <v>544</v>
      </c>
      <c r="G79" s="11">
        <v>3</v>
      </c>
      <c r="H79" s="11"/>
      <c r="I79" s="6" t="str">
        <f t="shared" si="1"/>
        <v>yokkkk</v>
      </c>
      <c r="J79" s="21"/>
      <c r="K79" s="22"/>
      <c r="L79" s="21"/>
      <c r="M79" s="21"/>
    </row>
    <row r="80" spans="1:13" ht="17.25" customHeight="1">
      <c r="A80" s="19">
        <v>288</v>
      </c>
      <c r="B80" s="5" t="s">
        <v>172</v>
      </c>
      <c r="C80" s="5" t="s">
        <v>926</v>
      </c>
      <c r="D80" s="5" t="s">
        <v>16</v>
      </c>
      <c r="E80" s="11">
        <v>46</v>
      </c>
      <c r="F80" s="12" t="s">
        <v>568</v>
      </c>
      <c r="G80" s="11">
        <v>3</v>
      </c>
      <c r="H80" s="11"/>
      <c r="I80" s="6" t="str">
        <f t="shared" si="1"/>
        <v>yokkkk</v>
      </c>
      <c r="J80" s="21"/>
      <c r="K80" s="22"/>
      <c r="L80" s="21"/>
      <c r="M80" s="21"/>
    </row>
    <row r="81" spans="1:13" ht="17.25" customHeight="1">
      <c r="A81" s="19">
        <v>288</v>
      </c>
      <c r="B81" s="5" t="s">
        <v>172</v>
      </c>
      <c r="C81" s="5" t="s">
        <v>926</v>
      </c>
      <c r="D81" s="5" t="s">
        <v>16</v>
      </c>
      <c r="E81" s="11">
        <v>47</v>
      </c>
      <c r="F81" s="12" t="s">
        <v>944</v>
      </c>
      <c r="G81" s="11">
        <v>2</v>
      </c>
      <c r="H81" s="11"/>
      <c r="I81" s="6" t="str">
        <f t="shared" si="1"/>
        <v>yokkkk</v>
      </c>
      <c r="J81" s="21"/>
      <c r="K81" s="22"/>
      <c r="L81" s="21"/>
      <c r="M81" s="21"/>
    </row>
    <row r="82" spans="1:13" ht="17.25" customHeight="1">
      <c r="A82" s="19">
        <v>288</v>
      </c>
      <c r="B82" s="5" t="s">
        <v>172</v>
      </c>
      <c r="C82" s="5" t="s">
        <v>926</v>
      </c>
      <c r="D82" s="5" t="s">
        <v>16</v>
      </c>
      <c r="E82" s="11">
        <v>48</v>
      </c>
      <c r="F82" s="12" t="s">
        <v>957</v>
      </c>
      <c r="G82" s="11">
        <v>1</v>
      </c>
      <c r="H82" s="11"/>
      <c r="I82" s="6" t="str">
        <f t="shared" si="1"/>
        <v>yokkkk</v>
      </c>
      <c r="J82" s="21"/>
      <c r="K82" s="22"/>
      <c r="L82" s="21"/>
      <c r="M82" s="21"/>
    </row>
    <row r="83" spans="1:13" ht="17.25" customHeight="1">
      <c r="A83" s="19">
        <v>288</v>
      </c>
      <c r="B83" s="5" t="s">
        <v>172</v>
      </c>
      <c r="C83" s="5" t="s">
        <v>926</v>
      </c>
      <c r="D83" s="5" t="s">
        <v>16</v>
      </c>
      <c r="E83" s="11">
        <v>61</v>
      </c>
      <c r="F83" s="12" t="s">
        <v>576</v>
      </c>
      <c r="G83" s="11">
        <v>4</v>
      </c>
      <c r="H83" s="11"/>
      <c r="I83" s="6" t="str">
        <f t="shared" si="1"/>
        <v>yokkkk</v>
      </c>
      <c r="J83" s="21"/>
      <c r="K83" s="22"/>
      <c r="L83" s="21"/>
      <c r="M83" s="21"/>
    </row>
    <row r="84" spans="1:13" ht="17.25" customHeight="1">
      <c r="A84" s="19">
        <v>84</v>
      </c>
      <c r="B84" s="5" t="s">
        <v>74</v>
      </c>
      <c r="C84" s="5" t="s">
        <v>717</v>
      </c>
      <c r="D84" s="5" t="s">
        <v>718</v>
      </c>
      <c r="E84" s="11">
        <v>2</v>
      </c>
      <c r="F84" s="12" t="s">
        <v>529</v>
      </c>
      <c r="G84" s="11">
        <v>2</v>
      </c>
      <c r="H84" s="11"/>
      <c r="I84" s="6" t="str">
        <f t="shared" si="1"/>
        <v>yokkkk</v>
      </c>
      <c r="J84" s="21"/>
      <c r="K84" s="22"/>
      <c r="L84" s="21"/>
      <c r="M84" s="21"/>
    </row>
    <row r="85" spans="1:13" ht="17.25" customHeight="1">
      <c r="A85" s="19">
        <v>84</v>
      </c>
      <c r="B85" s="5" t="s">
        <v>74</v>
      </c>
      <c r="C85" s="5" t="s">
        <v>717</v>
      </c>
      <c r="D85" s="5" t="s">
        <v>718</v>
      </c>
      <c r="E85" s="11">
        <v>31</v>
      </c>
      <c r="F85" s="12" t="s">
        <v>946</v>
      </c>
      <c r="G85" s="11">
        <v>3</v>
      </c>
      <c r="H85" s="11"/>
      <c r="I85" s="6" t="str">
        <f t="shared" si="1"/>
        <v>yokkkk</v>
      </c>
      <c r="J85" s="21"/>
      <c r="K85" s="22"/>
      <c r="L85" s="21"/>
      <c r="M85" s="21"/>
    </row>
    <row r="86" spans="1:13" ht="17.25" customHeight="1">
      <c r="A86" s="19">
        <v>84</v>
      </c>
      <c r="B86" s="5" t="s">
        <v>74</v>
      </c>
      <c r="C86" s="5" t="s">
        <v>717</v>
      </c>
      <c r="D86" s="5" t="s">
        <v>718</v>
      </c>
      <c r="E86" s="11">
        <v>81</v>
      </c>
      <c r="F86" s="12" t="s">
        <v>546</v>
      </c>
      <c r="G86" s="11">
        <v>1</v>
      </c>
      <c r="H86" s="11"/>
      <c r="I86" s="6" t="str">
        <f t="shared" si="1"/>
        <v>yokkkk</v>
      </c>
      <c r="J86" s="21"/>
      <c r="K86" s="22"/>
      <c r="L86" s="21"/>
      <c r="M86" s="21"/>
    </row>
    <row r="87" spans="1:13" ht="17.25" customHeight="1">
      <c r="A87" s="19">
        <v>84</v>
      </c>
      <c r="B87" s="5" t="s">
        <v>74</v>
      </c>
      <c r="C87" s="5" t="s">
        <v>717</v>
      </c>
      <c r="D87" s="5" t="s">
        <v>718</v>
      </c>
      <c r="E87" s="11">
        <v>85</v>
      </c>
      <c r="F87" s="12" t="s">
        <v>580</v>
      </c>
      <c r="G87" s="11">
        <v>4</v>
      </c>
      <c r="H87" s="11"/>
      <c r="I87" s="6" t="str">
        <f t="shared" si="1"/>
        <v>yokkkk</v>
      </c>
      <c r="J87" s="21"/>
      <c r="K87" s="22"/>
      <c r="L87" s="21"/>
      <c r="M87" s="21"/>
    </row>
    <row r="88" spans="1:13" ht="17.25" customHeight="1">
      <c r="A88" s="19">
        <v>25</v>
      </c>
      <c r="B88" s="5" t="s">
        <v>31</v>
      </c>
      <c r="C88" s="5" t="s">
        <v>180</v>
      </c>
      <c r="D88" s="5" t="s">
        <v>181</v>
      </c>
      <c r="E88" s="11">
        <v>18</v>
      </c>
      <c r="F88" s="12" t="s">
        <v>9</v>
      </c>
      <c r="G88" s="11">
        <v>1</v>
      </c>
      <c r="H88" s="11"/>
      <c r="I88" s="6" t="str">
        <f t="shared" si="1"/>
        <v>yokkkk</v>
      </c>
      <c r="J88" s="21"/>
      <c r="K88" s="22"/>
      <c r="L88" s="21"/>
      <c r="M88" s="21"/>
    </row>
    <row r="89" spans="1:13" ht="17.25" customHeight="1">
      <c r="A89" s="19">
        <v>25</v>
      </c>
      <c r="B89" s="5" t="s">
        <v>31</v>
      </c>
      <c r="C89" s="5" t="s">
        <v>180</v>
      </c>
      <c r="D89" s="5" t="s">
        <v>181</v>
      </c>
      <c r="E89" s="11">
        <v>19</v>
      </c>
      <c r="F89" s="12" t="s">
        <v>615</v>
      </c>
      <c r="G89" s="11">
        <v>2</v>
      </c>
      <c r="H89" s="11"/>
      <c r="I89" s="6" t="str">
        <f t="shared" si="1"/>
        <v>yokkkk</v>
      </c>
      <c r="J89" s="21"/>
      <c r="K89" s="22"/>
      <c r="L89" s="21"/>
      <c r="M89" s="21"/>
    </row>
    <row r="90" spans="1:13" ht="17.25" customHeight="1">
      <c r="A90" s="19">
        <v>25</v>
      </c>
      <c r="B90" s="5" t="s">
        <v>31</v>
      </c>
      <c r="C90" s="5" t="s">
        <v>180</v>
      </c>
      <c r="D90" s="5" t="s">
        <v>181</v>
      </c>
      <c r="E90" s="11">
        <v>21</v>
      </c>
      <c r="F90" s="12" t="s">
        <v>950</v>
      </c>
      <c r="G90" s="11">
        <v>3</v>
      </c>
      <c r="H90" s="11"/>
      <c r="I90" s="6" t="str">
        <f t="shared" si="1"/>
        <v>yokkkk</v>
      </c>
      <c r="J90" s="21"/>
      <c r="K90" s="22"/>
      <c r="L90" s="21"/>
      <c r="M90" s="21"/>
    </row>
    <row r="91" spans="1:13" ht="17.25" customHeight="1">
      <c r="A91" s="19">
        <v>25</v>
      </c>
      <c r="B91" s="5" t="s">
        <v>31</v>
      </c>
      <c r="C91" s="5" t="s">
        <v>180</v>
      </c>
      <c r="D91" s="5" t="s">
        <v>181</v>
      </c>
      <c r="E91" s="11">
        <v>22</v>
      </c>
      <c r="F91" s="12" t="s">
        <v>956</v>
      </c>
      <c r="G91" s="11">
        <v>4</v>
      </c>
      <c r="H91" s="11"/>
      <c r="I91" s="6" t="str">
        <f t="shared" si="1"/>
        <v>yokkkk</v>
      </c>
      <c r="J91" s="21"/>
      <c r="K91" s="22"/>
      <c r="L91" s="21"/>
      <c r="M91" s="21"/>
    </row>
    <row r="92" spans="1:13" ht="17.25" customHeight="1">
      <c r="A92" s="19">
        <v>81</v>
      </c>
      <c r="B92" s="5" t="s">
        <v>73</v>
      </c>
      <c r="C92" s="5" t="s">
        <v>126</v>
      </c>
      <c r="D92" s="5" t="s">
        <v>16</v>
      </c>
      <c r="E92" s="11">
        <v>23</v>
      </c>
      <c r="F92" s="12" t="s">
        <v>7</v>
      </c>
      <c r="G92" s="11">
        <v>1</v>
      </c>
      <c r="H92" s="11"/>
      <c r="I92" s="6" t="str">
        <f t="shared" si="1"/>
        <v>yokkkk</v>
      </c>
      <c r="J92" s="21"/>
      <c r="K92" s="22"/>
      <c r="L92" s="21"/>
      <c r="M92" s="21"/>
    </row>
    <row r="93" spans="1:13" ht="17.25" customHeight="1">
      <c r="A93" s="19">
        <v>81</v>
      </c>
      <c r="B93" s="5" t="s">
        <v>73</v>
      </c>
      <c r="C93" s="5" t="s">
        <v>126</v>
      </c>
      <c r="D93" s="5" t="s">
        <v>16</v>
      </c>
      <c r="E93" s="11">
        <v>24</v>
      </c>
      <c r="F93" s="12" t="s">
        <v>951</v>
      </c>
      <c r="G93" s="11">
        <v>2</v>
      </c>
      <c r="H93" s="11"/>
      <c r="I93" s="6" t="str">
        <f t="shared" si="1"/>
        <v>yokkkk</v>
      </c>
      <c r="J93" s="21"/>
      <c r="K93" s="22"/>
      <c r="L93" s="21"/>
      <c r="M93" s="21"/>
    </row>
    <row r="94" spans="1:13" ht="17.25" customHeight="1">
      <c r="A94" s="19">
        <v>211</v>
      </c>
      <c r="B94" s="5" t="s">
        <v>136</v>
      </c>
      <c r="C94" s="5" t="s">
        <v>330</v>
      </c>
      <c r="D94" s="5" t="s">
        <v>16</v>
      </c>
      <c r="E94" s="11">
        <v>30</v>
      </c>
      <c r="F94" s="12" t="s">
        <v>572</v>
      </c>
      <c r="G94" s="11">
        <v>2</v>
      </c>
      <c r="H94" s="11"/>
      <c r="I94" s="6" t="str">
        <f t="shared" si="1"/>
        <v>yokkkk</v>
      </c>
      <c r="J94" s="21"/>
      <c r="K94" s="22"/>
      <c r="L94" s="21"/>
      <c r="M94" s="21"/>
    </row>
    <row r="95" spans="1:13" ht="17.25" customHeight="1">
      <c r="A95" s="19">
        <v>211</v>
      </c>
      <c r="B95" s="5" t="s">
        <v>136</v>
      </c>
      <c r="C95" s="5" t="s">
        <v>330</v>
      </c>
      <c r="D95" s="5" t="s">
        <v>16</v>
      </c>
      <c r="E95" s="11">
        <v>54</v>
      </c>
      <c r="F95" s="12" t="s">
        <v>533</v>
      </c>
      <c r="G95" s="11">
        <v>3</v>
      </c>
      <c r="H95" s="11"/>
      <c r="I95" s="6" t="str">
        <f t="shared" si="1"/>
        <v>yokkkk</v>
      </c>
      <c r="J95" s="21"/>
      <c r="K95" s="22"/>
      <c r="L95" s="21"/>
      <c r="M95" s="21"/>
    </row>
    <row r="96" spans="1:13" ht="17.25" customHeight="1">
      <c r="A96" s="19">
        <v>211</v>
      </c>
      <c r="B96" s="5" t="s">
        <v>136</v>
      </c>
      <c r="C96" s="5" t="s">
        <v>330</v>
      </c>
      <c r="D96" s="5" t="s">
        <v>16</v>
      </c>
      <c r="E96" s="11">
        <v>59</v>
      </c>
      <c r="F96" s="12" t="s">
        <v>554</v>
      </c>
      <c r="G96" s="11">
        <v>1</v>
      </c>
      <c r="H96" s="11"/>
      <c r="I96" s="6" t="str">
        <f t="shared" si="1"/>
        <v>yokkkk</v>
      </c>
      <c r="J96" s="21"/>
      <c r="K96" s="22"/>
      <c r="L96" s="21"/>
      <c r="M96" s="21"/>
    </row>
    <row r="97" spans="1:13" ht="17.25" customHeight="1">
      <c r="A97" s="19">
        <v>211</v>
      </c>
      <c r="B97" s="5" t="s">
        <v>136</v>
      </c>
      <c r="C97" s="5" t="s">
        <v>330</v>
      </c>
      <c r="D97" s="5" t="s">
        <v>16</v>
      </c>
      <c r="E97" s="11">
        <v>88</v>
      </c>
      <c r="F97" s="12" t="s">
        <v>953</v>
      </c>
      <c r="G97" s="11">
        <v>4</v>
      </c>
      <c r="H97" s="11"/>
      <c r="I97" s="6" t="str">
        <f t="shared" si="1"/>
        <v>yokkkk</v>
      </c>
      <c r="J97" s="21"/>
      <c r="K97" s="22"/>
      <c r="L97" s="21"/>
      <c r="M97" s="21"/>
    </row>
    <row r="98" spans="1:13" ht="17.25" customHeight="1">
      <c r="A98" s="19">
        <v>211</v>
      </c>
      <c r="B98" s="5" t="s">
        <v>136</v>
      </c>
      <c r="C98" s="5" t="s">
        <v>330</v>
      </c>
      <c r="D98" s="5" t="s">
        <v>16</v>
      </c>
      <c r="E98" s="11">
        <v>93</v>
      </c>
      <c r="F98" s="12" t="s">
        <v>942</v>
      </c>
      <c r="G98" s="11">
        <v>5</v>
      </c>
      <c r="H98" s="11"/>
      <c r="I98" s="6" t="str">
        <f t="shared" si="1"/>
        <v>yokkkk</v>
      </c>
      <c r="J98" s="21"/>
      <c r="K98" s="22"/>
      <c r="L98" s="21"/>
      <c r="M98" s="21"/>
    </row>
    <row r="99" spans="1:13" ht="17.25" customHeight="1">
      <c r="A99" s="19">
        <v>253</v>
      </c>
      <c r="B99" s="5" t="s">
        <v>154</v>
      </c>
      <c r="C99" s="5" t="s">
        <v>355</v>
      </c>
      <c r="D99" s="5" t="s">
        <v>107</v>
      </c>
      <c r="E99" s="11">
        <v>60</v>
      </c>
      <c r="F99" s="12" t="s">
        <v>555</v>
      </c>
      <c r="G99" s="11">
        <v>1</v>
      </c>
      <c r="H99" s="11"/>
      <c r="I99" s="6" t="str">
        <f t="shared" si="1"/>
        <v>yokkkk</v>
      </c>
      <c r="J99" s="21"/>
      <c r="K99" s="22"/>
      <c r="L99" s="21"/>
      <c r="M99" s="21"/>
    </row>
    <row r="100" spans="1:13" ht="17.25" customHeight="1">
      <c r="A100" s="19">
        <v>74</v>
      </c>
      <c r="B100" s="5" t="s">
        <v>67</v>
      </c>
      <c r="C100" s="5" t="s">
        <v>707</v>
      </c>
      <c r="D100" s="5" t="s">
        <v>191</v>
      </c>
      <c r="E100" s="11">
        <v>26</v>
      </c>
      <c r="F100" s="12" t="s">
        <v>947</v>
      </c>
      <c r="G100" s="11">
        <v>2</v>
      </c>
      <c r="H100" s="11"/>
      <c r="I100" s="6" t="str">
        <f t="shared" si="1"/>
        <v>yokkkk</v>
      </c>
      <c r="J100" s="21"/>
      <c r="K100" s="22"/>
      <c r="L100" s="21"/>
      <c r="M100" s="21"/>
    </row>
    <row r="101" spans="1:13" ht="17.25" customHeight="1">
      <c r="A101" s="19">
        <v>74</v>
      </c>
      <c r="B101" s="5" t="s">
        <v>67</v>
      </c>
      <c r="C101" s="5" t="s">
        <v>707</v>
      </c>
      <c r="D101" s="5" t="s">
        <v>191</v>
      </c>
      <c r="E101" s="11">
        <v>27</v>
      </c>
      <c r="F101" s="12" t="s">
        <v>569</v>
      </c>
      <c r="G101" s="11">
        <v>3</v>
      </c>
      <c r="H101" s="11"/>
      <c r="I101" s="6" t="str">
        <f t="shared" si="1"/>
        <v>yokkkk</v>
      </c>
      <c r="J101" s="21"/>
      <c r="K101" s="22"/>
      <c r="L101" s="21"/>
      <c r="M101" s="21"/>
    </row>
    <row r="102" spans="1:13" ht="17.25" customHeight="1">
      <c r="A102" s="19">
        <v>74</v>
      </c>
      <c r="B102" s="5" t="s">
        <v>67</v>
      </c>
      <c r="C102" s="5" t="s">
        <v>707</v>
      </c>
      <c r="D102" s="5" t="s">
        <v>191</v>
      </c>
      <c r="E102" s="11">
        <v>28</v>
      </c>
      <c r="F102" s="12" t="s">
        <v>570</v>
      </c>
      <c r="G102" s="11">
        <v>1</v>
      </c>
      <c r="H102" s="11"/>
      <c r="I102" s="6" t="str">
        <f t="shared" si="1"/>
        <v>yokkkk</v>
      </c>
      <c r="J102" s="21"/>
      <c r="K102" s="22"/>
      <c r="L102" s="21"/>
      <c r="M102" s="21"/>
    </row>
    <row r="103" spans="1:13" ht="17.25" customHeight="1">
      <c r="A103" s="19">
        <v>74</v>
      </c>
      <c r="B103" s="5" t="s">
        <v>67</v>
      </c>
      <c r="C103" s="5" t="s">
        <v>707</v>
      </c>
      <c r="D103" s="5" t="s">
        <v>191</v>
      </c>
      <c r="E103" s="11">
        <v>29</v>
      </c>
      <c r="F103" s="12" t="s">
        <v>571</v>
      </c>
      <c r="G103" s="11">
        <v>4</v>
      </c>
      <c r="H103" s="11"/>
      <c r="I103" s="6" t="str">
        <f t="shared" si="1"/>
        <v>yokkkk</v>
      </c>
      <c r="J103" s="21"/>
      <c r="K103" s="22"/>
      <c r="L103" s="21"/>
      <c r="M103" s="21"/>
    </row>
    <row r="104" spans="1:13" ht="17.25" customHeight="1">
      <c r="A104" s="19">
        <v>236</v>
      </c>
      <c r="B104" s="5" t="s">
        <v>150</v>
      </c>
      <c r="C104" s="5" t="s">
        <v>869</v>
      </c>
      <c r="D104" s="5" t="s">
        <v>667</v>
      </c>
      <c r="E104" s="11">
        <v>33</v>
      </c>
      <c r="F104" s="12" t="s">
        <v>5</v>
      </c>
      <c r="G104" s="11">
        <v>1</v>
      </c>
      <c r="H104" s="11"/>
      <c r="I104" s="6" t="str">
        <f t="shared" si="1"/>
        <v>yokkkk</v>
      </c>
      <c r="J104" s="21"/>
      <c r="K104" s="22"/>
      <c r="L104" s="21"/>
      <c r="M104" s="21"/>
    </row>
    <row r="105" spans="1:13" ht="17.25" customHeight="1">
      <c r="A105" s="19">
        <v>107</v>
      </c>
      <c r="B105" s="5" t="s">
        <v>92</v>
      </c>
      <c r="C105" s="5" t="s">
        <v>745</v>
      </c>
      <c r="D105" s="5" t="s">
        <v>746</v>
      </c>
      <c r="E105" s="11">
        <v>11</v>
      </c>
      <c r="F105" s="12" t="s">
        <v>539</v>
      </c>
      <c r="G105" s="11">
        <v>4</v>
      </c>
      <c r="H105" s="11"/>
      <c r="I105" s="6" t="str">
        <f t="shared" si="1"/>
        <v>yokkkk</v>
      </c>
      <c r="J105" s="21"/>
      <c r="K105" s="22"/>
      <c r="L105" s="21"/>
      <c r="M105" s="21"/>
    </row>
    <row r="106" spans="1:13" ht="17.25" customHeight="1">
      <c r="A106" s="19">
        <v>107</v>
      </c>
      <c r="B106" s="5" t="s">
        <v>92</v>
      </c>
      <c r="C106" s="5" t="s">
        <v>745</v>
      </c>
      <c r="D106" s="5" t="s">
        <v>746</v>
      </c>
      <c r="E106" s="11">
        <v>16</v>
      </c>
      <c r="F106" s="12" t="s">
        <v>544</v>
      </c>
      <c r="G106" s="11">
        <v>5</v>
      </c>
      <c r="H106" s="11"/>
      <c r="I106" s="6" t="str">
        <f t="shared" si="1"/>
        <v>yokkkk</v>
      </c>
      <c r="J106" s="21"/>
      <c r="K106" s="22"/>
      <c r="L106" s="21"/>
      <c r="M106" s="21"/>
    </row>
    <row r="107" spans="1:13" ht="17.25" customHeight="1">
      <c r="A107" s="19">
        <v>107</v>
      </c>
      <c r="B107" s="5" t="s">
        <v>92</v>
      </c>
      <c r="C107" s="5" t="s">
        <v>745</v>
      </c>
      <c r="D107" s="5" t="s">
        <v>746</v>
      </c>
      <c r="E107" s="11">
        <v>49</v>
      </c>
      <c r="F107" s="12" t="s">
        <v>6</v>
      </c>
      <c r="G107" s="11">
        <v>1</v>
      </c>
      <c r="H107" s="11"/>
      <c r="I107" s="6" t="str">
        <f t="shared" si="1"/>
        <v>yokkkk</v>
      </c>
      <c r="J107" s="21"/>
      <c r="K107" s="22"/>
      <c r="L107" s="21"/>
      <c r="M107" s="21"/>
    </row>
    <row r="108" spans="1:13" ht="17.25" customHeight="1">
      <c r="A108" s="19">
        <v>107</v>
      </c>
      <c r="B108" s="5" t="s">
        <v>92</v>
      </c>
      <c r="C108" s="5" t="s">
        <v>745</v>
      </c>
      <c r="D108" s="5" t="s">
        <v>746</v>
      </c>
      <c r="E108" s="11">
        <v>53</v>
      </c>
      <c r="F108" s="12" t="s">
        <v>562</v>
      </c>
      <c r="G108" s="11">
        <v>2</v>
      </c>
      <c r="H108" s="11"/>
      <c r="I108" s="6" t="str">
        <f t="shared" si="1"/>
        <v>yokkkk</v>
      </c>
      <c r="J108" s="21"/>
      <c r="K108" s="22"/>
      <c r="L108" s="21"/>
      <c r="M108" s="21"/>
    </row>
    <row r="109" spans="1:13" ht="17.25" customHeight="1">
      <c r="A109" s="19">
        <v>107</v>
      </c>
      <c r="B109" s="5" t="s">
        <v>92</v>
      </c>
      <c r="C109" s="5" t="s">
        <v>745</v>
      </c>
      <c r="D109" s="5" t="s">
        <v>746</v>
      </c>
      <c r="E109" s="11">
        <v>55</v>
      </c>
      <c r="F109" s="12" t="s">
        <v>238</v>
      </c>
      <c r="G109" s="11">
        <v>3</v>
      </c>
      <c r="H109" s="11"/>
      <c r="I109" s="6" t="str">
        <f t="shared" si="1"/>
        <v>yokkkk</v>
      </c>
      <c r="J109" s="21"/>
      <c r="K109" s="22"/>
      <c r="L109" s="21"/>
      <c r="M109" s="21"/>
    </row>
    <row r="110" spans="1:13" ht="17.25" customHeight="1">
      <c r="A110" s="19">
        <v>125</v>
      </c>
      <c r="B110" s="5" t="s">
        <v>104</v>
      </c>
      <c r="C110" s="5" t="s">
        <v>771</v>
      </c>
      <c r="D110" s="5" t="s">
        <v>200</v>
      </c>
      <c r="E110" s="11">
        <v>11</v>
      </c>
      <c r="F110" s="12" t="s">
        <v>539</v>
      </c>
      <c r="G110" s="11">
        <v>3</v>
      </c>
      <c r="H110" s="11"/>
      <c r="I110" s="6" t="str">
        <f t="shared" si="1"/>
        <v>yokkkk</v>
      </c>
      <c r="J110" s="21"/>
      <c r="K110" s="22"/>
      <c r="L110" s="21"/>
      <c r="M110" s="21"/>
    </row>
    <row r="111" spans="1:13" ht="17.25" customHeight="1">
      <c r="A111" s="19">
        <v>125</v>
      </c>
      <c r="B111" s="5" t="s">
        <v>104</v>
      </c>
      <c r="C111" s="5" t="s">
        <v>771</v>
      </c>
      <c r="D111" s="5" t="s">
        <v>200</v>
      </c>
      <c r="E111" s="11">
        <v>16</v>
      </c>
      <c r="F111" s="12" t="s">
        <v>544</v>
      </c>
      <c r="G111" s="11">
        <v>5</v>
      </c>
      <c r="H111" s="11"/>
      <c r="I111" s="6" t="str">
        <f t="shared" si="1"/>
        <v>yokkkk</v>
      </c>
      <c r="J111" s="21"/>
      <c r="K111" s="22"/>
      <c r="L111" s="21"/>
      <c r="M111" s="21"/>
    </row>
    <row r="112" spans="1:13" ht="17.25" customHeight="1">
      <c r="A112" s="19">
        <v>125</v>
      </c>
      <c r="B112" s="5" t="s">
        <v>104</v>
      </c>
      <c r="C112" s="5" t="s">
        <v>771</v>
      </c>
      <c r="D112" s="5" t="s">
        <v>200</v>
      </c>
      <c r="E112" s="11">
        <v>47</v>
      </c>
      <c r="F112" s="12" t="s">
        <v>944</v>
      </c>
      <c r="G112" s="11">
        <v>1</v>
      </c>
      <c r="H112" s="11"/>
      <c r="I112" s="6" t="str">
        <f t="shared" si="1"/>
        <v>yokkkk</v>
      </c>
      <c r="J112" s="21"/>
      <c r="K112" s="22"/>
      <c r="L112" s="21"/>
      <c r="M112" s="21"/>
    </row>
    <row r="113" spans="1:13" ht="17.25" customHeight="1">
      <c r="A113" s="19">
        <v>125</v>
      </c>
      <c r="B113" s="5" t="s">
        <v>104</v>
      </c>
      <c r="C113" s="5" t="s">
        <v>771</v>
      </c>
      <c r="D113" s="5" t="s">
        <v>200</v>
      </c>
      <c r="E113" s="11">
        <v>81</v>
      </c>
      <c r="F113" s="12" t="s">
        <v>546</v>
      </c>
      <c r="G113" s="11">
        <v>4</v>
      </c>
      <c r="H113" s="11"/>
      <c r="I113" s="6" t="str">
        <f t="shared" si="1"/>
        <v>yokkkk</v>
      </c>
      <c r="J113" s="21"/>
      <c r="K113" s="22"/>
      <c r="L113" s="21"/>
      <c r="M113" s="21"/>
    </row>
    <row r="114" spans="1:13" ht="17.25" customHeight="1">
      <c r="A114" s="19">
        <v>125</v>
      </c>
      <c r="B114" s="5" t="s">
        <v>104</v>
      </c>
      <c r="C114" s="5" t="s">
        <v>771</v>
      </c>
      <c r="D114" s="5" t="s">
        <v>200</v>
      </c>
      <c r="E114" s="11">
        <v>83</v>
      </c>
      <c r="F114" s="12" t="s">
        <v>548</v>
      </c>
      <c r="G114" s="11">
        <v>2</v>
      </c>
      <c r="H114" s="11"/>
      <c r="I114" s="6" t="str">
        <f t="shared" si="1"/>
        <v>yokkkk</v>
      </c>
      <c r="J114" s="21"/>
      <c r="K114" s="22"/>
      <c r="L114" s="21"/>
      <c r="M114" s="21"/>
    </row>
    <row r="115" spans="1:13" ht="17.25" customHeight="1">
      <c r="A115" s="19">
        <v>85</v>
      </c>
      <c r="B115" s="5" t="s">
        <v>80</v>
      </c>
      <c r="C115" s="5" t="s">
        <v>192</v>
      </c>
      <c r="D115" s="5" t="s">
        <v>720</v>
      </c>
      <c r="E115" s="11">
        <v>48</v>
      </c>
      <c r="F115" s="12" t="s">
        <v>957</v>
      </c>
      <c r="G115" s="11">
        <v>1</v>
      </c>
      <c r="H115" s="11"/>
      <c r="I115" s="6" t="str">
        <f t="shared" si="1"/>
        <v>yokkkk</v>
      </c>
      <c r="J115" s="21"/>
      <c r="K115" s="22"/>
      <c r="L115" s="21"/>
      <c r="M115" s="21"/>
    </row>
    <row r="116" spans="1:13" ht="17.25" customHeight="1">
      <c r="A116" s="19">
        <v>85</v>
      </c>
      <c r="B116" s="5" t="s">
        <v>80</v>
      </c>
      <c r="C116" s="5" t="s">
        <v>192</v>
      </c>
      <c r="D116" s="5" t="s">
        <v>720</v>
      </c>
      <c r="E116" s="11">
        <v>64</v>
      </c>
      <c r="F116" s="12" t="s">
        <v>577</v>
      </c>
      <c r="G116" s="11">
        <v>3</v>
      </c>
      <c r="H116" s="11"/>
      <c r="I116" s="6" t="str">
        <f t="shared" si="1"/>
        <v>yokkkk</v>
      </c>
      <c r="J116" s="21"/>
      <c r="K116" s="22"/>
      <c r="L116" s="21"/>
      <c r="M116" s="21"/>
    </row>
    <row r="117" spans="1:13" ht="17.25" customHeight="1">
      <c r="A117" s="19">
        <v>85</v>
      </c>
      <c r="B117" s="5" t="s">
        <v>80</v>
      </c>
      <c r="C117" s="5" t="s">
        <v>192</v>
      </c>
      <c r="D117" s="5" t="s">
        <v>720</v>
      </c>
      <c r="E117" s="11">
        <v>88</v>
      </c>
      <c r="F117" s="12" t="s">
        <v>953</v>
      </c>
      <c r="G117" s="11">
        <v>2</v>
      </c>
      <c r="H117" s="11"/>
      <c r="I117" s="6" t="str">
        <f t="shared" si="1"/>
        <v>yokkkk</v>
      </c>
      <c r="J117" s="21"/>
      <c r="K117" s="22"/>
      <c r="L117" s="21"/>
      <c r="M117" s="21"/>
    </row>
    <row r="118" spans="1:13" ht="17.25" customHeight="1">
      <c r="A118" s="19">
        <v>207</v>
      </c>
      <c r="B118" s="5" t="s">
        <v>136</v>
      </c>
      <c r="C118" s="5" t="s">
        <v>328</v>
      </c>
      <c r="D118" s="5" t="s">
        <v>20</v>
      </c>
      <c r="E118" s="11">
        <v>18</v>
      </c>
      <c r="F118" s="12" t="s">
        <v>9</v>
      </c>
      <c r="G118" s="11">
        <v>2</v>
      </c>
      <c r="H118" s="11"/>
      <c r="I118" s="6" t="str">
        <f t="shared" si="1"/>
        <v>yokkkk</v>
      </c>
      <c r="J118" s="21"/>
      <c r="K118" s="22"/>
      <c r="L118" s="21"/>
      <c r="M118" s="21"/>
    </row>
    <row r="119" spans="1:13" ht="17.25" customHeight="1">
      <c r="A119" s="19">
        <v>207</v>
      </c>
      <c r="B119" s="5" t="s">
        <v>136</v>
      </c>
      <c r="C119" s="5" t="s">
        <v>328</v>
      </c>
      <c r="D119" s="5" t="s">
        <v>20</v>
      </c>
      <c r="E119" s="11">
        <v>22</v>
      </c>
      <c r="F119" s="12" t="s">
        <v>956</v>
      </c>
      <c r="G119" s="11">
        <v>4</v>
      </c>
      <c r="H119" s="11"/>
      <c r="I119" s="6" t="str">
        <f t="shared" si="1"/>
        <v>yokkkk</v>
      </c>
      <c r="J119" s="21"/>
      <c r="K119" s="22"/>
      <c r="L119" s="21"/>
      <c r="M119" s="21"/>
    </row>
    <row r="120" spans="1:13" ht="17.25" customHeight="1">
      <c r="A120" s="19">
        <v>207</v>
      </c>
      <c r="B120" s="5" t="s">
        <v>136</v>
      </c>
      <c r="C120" s="5" t="s">
        <v>328</v>
      </c>
      <c r="D120" s="5" t="s">
        <v>20</v>
      </c>
      <c r="E120" s="11">
        <v>26</v>
      </c>
      <c r="F120" s="12" t="s">
        <v>947</v>
      </c>
      <c r="G120" s="11">
        <v>3</v>
      </c>
      <c r="H120" s="11"/>
      <c r="I120" s="6" t="str">
        <f t="shared" si="1"/>
        <v>yokkkk</v>
      </c>
      <c r="J120" s="21"/>
      <c r="K120" s="22"/>
      <c r="L120" s="21"/>
      <c r="M120" s="21"/>
    </row>
    <row r="121" spans="1:13" ht="17.25" customHeight="1">
      <c r="A121" s="19">
        <v>207</v>
      </c>
      <c r="B121" s="5" t="s">
        <v>136</v>
      </c>
      <c r="C121" s="5" t="s">
        <v>328</v>
      </c>
      <c r="D121" s="5" t="s">
        <v>20</v>
      </c>
      <c r="E121" s="11">
        <v>28</v>
      </c>
      <c r="F121" s="12" t="s">
        <v>570</v>
      </c>
      <c r="G121" s="11">
        <v>5</v>
      </c>
      <c r="H121" s="11"/>
      <c r="I121" s="6" t="str">
        <f t="shared" si="1"/>
        <v>yokkkk</v>
      </c>
      <c r="J121" s="21"/>
      <c r="K121" s="22"/>
      <c r="L121" s="21"/>
      <c r="M121" s="21"/>
    </row>
    <row r="122" spans="1:13" ht="17.25" customHeight="1">
      <c r="A122" s="19">
        <v>207</v>
      </c>
      <c r="B122" s="5" t="s">
        <v>136</v>
      </c>
      <c r="C122" s="5" t="s">
        <v>328</v>
      </c>
      <c r="D122" s="5" t="s">
        <v>20</v>
      </c>
      <c r="E122" s="11">
        <v>31</v>
      </c>
      <c r="F122" s="12" t="s">
        <v>946</v>
      </c>
      <c r="G122" s="11">
        <v>1</v>
      </c>
      <c r="H122" s="11"/>
      <c r="I122" s="6" t="str">
        <f t="shared" si="1"/>
        <v>yokkkk</v>
      </c>
      <c r="J122" s="21"/>
      <c r="K122" s="22"/>
      <c r="L122" s="21"/>
      <c r="M122" s="21"/>
    </row>
    <row r="123" spans="1:13" ht="17.25" customHeight="1">
      <c r="A123" s="19">
        <v>217</v>
      </c>
      <c r="B123" s="5" t="s">
        <v>140</v>
      </c>
      <c r="C123" s="5" t="s">
        <v>141</v>
      </c>
      <c r="D123" s="5" t="s">
        <v>142</v>
      </c>
      <c r="E123" s="11">
        <v>31</v>
      </c>
      <c r="F123" s="12" t="s">
        <v>946</v>
      </c>
      <c r="G123" s="11">
        <v>1</v>
      </c>
      <c r="H123" s="11"/>
      <c r="I123" s="6" t="str">
        <f t="shared" si="1"/>
        <v>yokkkk</v>
      </c>
      <c r="J123" s="21"/>
      <c r="K123" s="22"/>
      <c r="L123" s="21"/>
      <c r="M123" s="21"/>
    </row>
    <row r="124" spans="1:13" ht="17.25" customHeight="1">
      <c r="A124" s="19">
        <v>217</v>
      </c>
      <c r="B124" s="5" t="s">
        <v>140</v>
      </c>
      <c r="C124" s="5" t="s">
        <v>141</v>
      </c>
      <c r="D124" s="5" t="s">
        <v>142</v>
      </c>
      <c r="E124" s="11">
        <v>53</v>
      </c>
      <c r="F124" s="12" t="s">
        <v>562</v>
      </c>
      <c r="G124" s="11">
        <v>3</v>
      </c>
      <c r="H124" s="11"/>
      <c r="I124" s="6" t="str">
        <f t="shared" si="1"/>
        <v>yokkkk</v>
      </c>
      <c r="J124" s="21"/>
      <c r="K124" s="22"/>
      <c r="L124" s="21"/>
      <c r="M124" s="21"/>
    </row>
    <row r="125" spans="1:13" ht="17.25" customHeight="1">
      <c r="A125" s="19">
        <v>217</v>
      </c>
      <c r="B125" s="5" t="s">
        <v>140</v>
      </c>
      <c r="C125" s="5" t="s">
        <v>141</v>
      </c>
      <c r="D125" s="5" t="s">
        <v>142</v>
      </c>
      <c r="E125" s="11">
        <v>54</v>
      </c>
      <c r="F125" s="12" t="s">
        <v>533</v>
      </c>
      <c r="G125" s="11">
        <v>4</v>
      </c>
      <c r="H125" s="11"/>
      <c r="I125" s="6" t="str">
        <f t="shared" si="1"/>
        <v>yokkkk</v>
      </c>
      <c r="J125" s="21"/>
      <c r="K125" s="22"/>
      <c r="L125" s="21"/>
      <c r="M125" s="21"/>
    </row>
    <row r="126" spans="1:13" ht="17.25" customHeight="1">
      <c r="A126" s="19">
        <v>217</v>
      </c>
      <c r="B126" s="5" t="s">
        <v>140</v>
      </c>
      <c r="C126" s="5" t="s">
        <v>141</v>
      </c>
      <c r="D126" s="5" t="s">
        <v>142</v>
      </c>
      <c r="E126" s="11">
        <v>78</v>
      </c>
      <c r="F126" s="12" t="s">
        <v>574</v>
      </c>
      <c r="G126" s="11">
        <v>2</v>
      </c>
      <c r="H126" s="11"/>
      <c r="I126" s="6" t="str">
        <f t="shared" si="1"/>
        <v>yokkkk</v>
      </c>
      <c r="J126" s="21"/>
      <c r="K126" s="22"/>
      <c r="L126" s="21"/>
      <c r="M126" s="21"/>
    </row>
    <row r="127" spans="1:13" ht="17.25" customHeight="1">
      <c r="A127" s="19">
        <v>33</v>
      </c>
      <c r="B127" s="5" t="s">
        <v>37</v>
      </c>
      <c r="C127" s="5" t="s">
        <v>12</v>
      </c>
      <c r="D127" s="5" t="s">
        <v>649</v>
      </c>
      <c r="E127" s="11">
        <v>33</v>
      </c>
      <c r="F127" s="12" t="s">
        <v>5</v>
      </c>
      <c r="G127" s="11">
        <v>3</v>
      </c>
      <c r="H127" s="11"/>
      <c r="I127" s="6" t="str">
        <f t="shared" si="1"/>
        <v>yokkkk</v>
      </c>
      <c r="J127" s="21"/>
      <c r="K127" s="22"/>
      <c r="L127" s="21"/>
      <c r="M127" s="21"/>
    </row>
    <row r="128" spans="1:13" ht="17.25" customHeight="1">
      <c r="A128" s="19">
        <v>33</v>
      </c>
      <c r="B128" s="5" t="s">
        <v>37</v>
      </c>
      <c r="C128" s="5" t="s">
        <v>12</v>
      </c>
      <c r="D128" s="5" t="s">
        <v>649</v>
      </c>
      <c r="E128" s="11">
        <v>43</v>
      </c>
      <c r="F128" s="12" t="s">
        <v>10</v>
      </c>
      <c r="G128" s="11">
        <v>5</v>
      </c>
      <c r="H128" s="11"/>
      <c r="I128" s="6" t="str">
        <f t="shared" si="1"/>
        <v>yokkkk</v>
      </c>
      <c r="J128" s="21"/>
      <c r="K128" s="22"/>
      <c r="L128" s="21"/>
      <c r="M128" s="21"/>
    </row>
    <row r="129" spans="1:13" ht="17.25" customHeight="1">
      <c r="A129" s="19">
        <v>33</v>
      </c>
      <c r="B129" s="5" t="s">
        <v>37</v>
      </c>
      <c r="C129" s="5" t="s">
        <v>12</v>
      </c>
      <c r="D129" s="5" t="s">
        <v>649</v>
      </c>
      <c r="E129" s="11">
        <v>50</v>
      </c>
      <c r="F129" s="12" t="s">
        <v>559</v>
      </c>
      <c r="G129" s="11">
        <v>1</v>
      </c>
      <c r="H129" s="11"/>
      <c r="I129" s="6" t="str">
        <f t="shared" si="1"/>
        <v>yokkkk</v>
      </c>
      <c r="J129" s="21"/>
      <c r="K129" s="22"/>
      <c r="L129" s="21"/>
      <c r="M129" s="21"/>
    </row>
    <row r="130" spans="1:13" ht="17.25" customHeight="1">
      <c r="A130" s="19">
        <v>33</v>
      </c>
      <c r="B130" s="5" t="s">
        <v>37</v>
      </c>
      <c r="C130" s="5" t="s">
        <v>12</v>
      </c>
      <c r="D130" s="5" t="s">
        <v>649</v>
      </c>
      <c r="E130" s="11">
        <v>51</v>
      </c>
      <c r="F130" s="12" t="s">
        <v>560</v>
      </c>
      <c r="G130" s="11">
        <v>4</v>
      </c>
      <c r="H130" s="11"/>
      <c r="I130" s="6" t="str">
        <f t="shared" si="1"/>
        <v>yokkkk</v>
      </c>
      <c r="J130" s="21"/>
      <c r="K130" s="22"/>
      <c r="L130" s="21"/>
      <c r="M130" s="21"/>
    </row>
    <row r="131" spans="1:13" ht="17.25" customHeight="1">
      <c r="A131" s="19">
        <v>33</v>
      </c>
      <c r="B131" s="5" t="s">
        <v>37</v>
      </c>
      <c r="C131" s="5" t="s">
        <v>12</v>
      </c>
      <c r="D131" s="5" t="s">
        <v>649</v>
      </c>
      <c r="E131" s="11">
        <v>90</v>
      </c>
      <c r="F131" s="12" t="s">
        <v>937</v>
      </c>
      <c r="G131" s="11">
        <v>2</v>
      </c>
      <c r="H131" s="11"/>
      <c r="I131" s="6" t="str">
        <f t="shared" ref="I131:I194" si="2">IF(COUNTIF(J:J,A131)," var","yokkkk")</f>
        <v>yokkkk</v>
      </c>
      <c r="J131" s="21"/>
      <c r="K131" s="22"/>
      <c r="L131" s="21"/>
      <c r="M131" s="21"/>
    </row>
    <row r="132" spans="1:13" ht="17.25" customHeight="1">
      <c r="A132" s="19">
        <v>145</v>
      </c>
      <c r="B132" s="5" t="s">
        <v>104</v>
      </c>
      <c r="C132" s="5" t="s">
        <v>25</v>
      </c>
      <c r="D132" s="5" t="s">
        <v>210</v>
      </c>
      <c r="E132" s="11">
        <v>53</v>
      </c>
      <c r="F132" s="12" t="s">
        <v>562</v>
      </c>
      <c r="G132" s="11">
        <v>4</v>
      </c>
      <c r="H132" s="11"/>
      <c r="I132" s="6" t="str">
        <f t="shared" si="2"/>
        <v>yokkkk</v>
      </c>
      <c r="J132" s="21"/>
      <c r="K132" s="22"/>
      <c r="L132" s="21"/>
      <c r="M132" s="21"/>
    </row>
    <row r="133" spans="1:13" ht="17.25" customHeight="1">
      <c r="A133" s="19">
        <v>145</v>
      </c>
      <c r="B133" s="5" t="s">
        <v>104</v>
      </c>
      <c r="C133" s="5" t="s">
        <v>25</v>
      </c>
      <c r="D133" s="5" t="s">
        <v>210</v>
      </c>
      <c r="E133" s="11">
        <v>54</v>
      </c>
      <c r="F133" s="12" t="s">
        <v>533</v>
      </c>
      <c r="G133" s="11">
        <v>3</v>
      </c>
      <c r="H133" s="11"/>
      <c r="I133" s="6" t="str">
        <f t="shared" si="2"/>
        <v>yokkkk</v>
      </c>
      <c r="J133" s="21"/>
      <c r="K133" s="22"/>
      <c r="L133" s="21"/>
      <c r="M133" s="21"/>
    </row>
    <row r="134" spans="1:13" ht="17.25" customHeight="1">
      <c r="A134" s="19">
        <v>145</v>
      </c>
      <c r="B134" s="5" t="s">
        <v>104</v>
      </c>
      <c r="C134" s="5" t="s">
        <v>25</v>
      </c>
      <c r="D134" s="5" t="s">
        <v>210</v>
      </c>
      <c r="E134" s="11">
        <v>81</v>
      </c>
      <c r="F134" s="12" t="s">
        <v>546</v>
      </c>
      <c r="G134" s="11">
        <v>2</v>
      </c>
      <c r="H134" s="11"/>
      <c r="I134" s="6" t="str">
        <f t="shared" si="2"/>
        <v>yokkkk</v>
      </c>
      <c r="J134" s="21"/>
      <c r="K134" s="22"/>
      <c r="L134" s="21"/>
      <c r="M134" s="21"/>
    </row>
    <row r="135" spans="1:13" ht="17.25" customHeight="1">
      <c r="A135" s="19">
        <v>145</v>
      </c>
      <c r="B135" s="5" t="s">
        <v>104</v>
      </c>
      <c r="C135" s="5" t="s">
        <v>25</v>
      </c>
      <c r="D135" s="5" t="s">
        <v>210</v>
      </c>
      <c r="E135" s="11">
        <v>84</v>
      </c>
      <c r="F135" s="12" t="s">
        <v>237</v>
      </c>
      <c r="G135" s="11">
        <v>1</v>
      </c>
      <c r="H135" s="11"/>
      <c r="I135" s="6" t="str">
        <f t="shared" si="2"/>
        <v>yokkkk</v>
      </c>
      <c r="J135" s="21"/>
      <c r="K135" s="22"/>
      <c r="L135" s="21"/>
      <c r="M135" s="21"/>
    </row>
    <row r="136" spans="1:13" ht="17.25" customHeight="1">
      <c r="A136" s="19">
        <v>145</v>
      </c>
      <c r="B136" s="5" t="s">
        <v>104</v>
      </c>
      <c r="C136" s="5" t="s">
        <v>25</v>
      </c>
      <c r="D136" s="5" t="s">
        <v>210</v>
      </c>
      <c r="E136" s="11">
        <v>85</v>
      </c>
      <c r="F136" s="12" t="s">
        <v>580</v>
      </c>
      <c r="G136" s="11">
        <v>5</v>
      </c>
      <c r="H136" s="11"/>
      <c r="I136" s="6" t="str">
        <f t="shared" si="2"/>
        <v>yokkkk</v>
      </c>
      <c r="J136" s="21"/>
      <c r="K136" s="22"/>
      <c r="L136" s="21"/>
      <c r="M136" s="21"/>
    </row>
    <row r="137" spans="1:13" ht="17.25" customHeight="1">
      <c r="A137" s="19">
        <v>44</v>
      </c>
      <c r="B137" s="5" t="s">
        <v>44</v>
      </c>
      <c r="C137" s="5" t="s">
        <v>662</v>
      </c>
      <c r="D137" s="5" t="s">
        <v>100</v>
      </c>
      <c r="E137" s="11">
        <v>96</v>
      </c>
      <c r="F137" s="12" t="s">
        <v>938</v>
      </c>
      <c r="G137" s="11">
        <v>1</v>
      </c>
      <c r="H137" s="11"/>
      <c r="I137" s="6" t="str">
        <f t="shared" si="2"/>
        <v>yokkkk</v>
      </c>
      <c r="J137" s="21"/>
      <c r="K137" s="22"/>
      <c r="L137" s="21"/>
      <c r="M137" s="21"/>
    </row>
    <row r="138" spans="1:13" ht="17.25" customHeight="1">
      <c r="A138" s="19">
        <v>189</v>
      </c>
      <c r="B138" s="5" t="s">
        <v>123</v>
      </c>
      <c r="C138" s="5" t="s">
        <v>225</v>
      </c>
      <c r="D138" s="5" t="s">
        <v>46</v>
      </c>
      <c r="E138" s="11">
        <v>2</v>
      </c>
      <c r="F138" s="12" t="s">
        <v>529</v>
      </c>
      <c r="G138" s="11">
        <v>3</v>
      </c>
      <c r="H138" s="11"/>
      <c r="I138" s="6" t="str">
        <f t="shared" si="2"/>
        <v>yokkkk</v>
      </c>
      <c r="J138" s="21"/>
      <c r="K138" s="22"/>
      <c r="L138" s="21"/>
      <c r="M138" s="21"/>
    </row>
    <row r="139" spans="1:13" ht="17.25" customHeight="1">
      <c r="A139" s="19">
        <v>189</v>
      </c>
      <c r="B139" s="5" t="s">
        <v>123</v>
      </c>
      <c r="C139" s="5" t="s">
        <v>225</v>
      </c>
      <c r="D139" s="5" t="s">
        <v>46</v>
      </c>
      <c r="E139" s="11">
        <v>31</v>
      </c>
      <c r="F139" s="12" t="s">
        <v>946</v>
      </c>
      <c r="G139" s="11">
        <v>2</v>
      </c>
      <c r="H139" s="11"/>
      <c r="I139" s="6" t="str">
        <f t="shared" si="2"/>
        <v>yokkkk</v>
      </c>
      <c r="J139" s="21"/>
      <c r="K139" s="22"/>
      <c r="L139" s="21"/>
      <c r="M139" s="21"/>
    </row>
    <row r="140" spans="1:13" ht="17.25" customHeight="1">
      <c r="A140" s="19">
        <v>189</v>
      </c>
      <c r="B140" s="5" t="s">
        <v>123</v>
      </c>
      <c r="C140" s="5" t="s">
        <v>225</v>
      </c>
      <c r="D140" s="5" t="s">
        <v>46</v>
      </c>
      <c r="E140" s="11">
        <v>55</v>
      </c>
      <c r="F140" s="12" t="s">
        <v>238</v>
      </c>
      <c r="G140" s="11">
        <v>4</v>
      </c>
      <c r="H140" s="11"/>
      <c r="I140" s="6" t="str">
        <f t="shared" si="2"/>
        <v>yokkkk</v>
      </c>
      <c r="J140" s="21"/>
      <c r="K140" s="22"/>
      <c r="L140" s="21"/>
      <c r="M140" s="21"/>
    </row>
    <row r="141" spans="1:13" ht="17.25" customHeight="1">
      <c r="A141" s="19">
        <v>189</v>
      </c>
      <c r="B141" s="5" t="s">
        <v>123</v>
      </c>
      <c r="C141" s="5" t="s">
        <v>225</v>
      </c>
      <c r="D141" s="5" t="s">
        <v>46</v>
      </c>
      <c r="E141" s="11">
        <v>77</v>
      </c>
      <c r="F141" s="12" t="s">
        <v>573</v>
      </c>
      <c r="G141" s="11">
        <v>5</v>
      </c>
      <c r="H141" s="11"/>
      <c r="I141" s="6" t="str">
        <f t="shared" si="2"/>
        <v>yokkkk</v>
      </c>
      <c r="J141" s="21"/>
      <c r="K141" s="22"/>
      <c r="L141" s="21"/>
      <c r="M141" s="21"/>
    </row>
    <row r="142" spans="1:13" ht="17.25" customHeight="1">
      <c r="A142" s="19">
        <v>189</v>
      </c>
      <c r="B142" s="5" t="s">
        <v>123</v>
      </c>
      <c r="C142" s="5" t="s">
        <v>225</v>
      </c>
      <c r="D142" s="5" t="s">
        <v>46</v>
      </c>
      <c r="E142" s="11">
        <v>79</v>
      </c>
      <c r="F142" s="12" t="s">
        <v>575</v>
      </c>
      <c r="G142" s="11">
        <v>1</v>
      </c>
      <c r="H142" s="11"/>
      <c r="I142" s="6" t="str">
        <f t="shared" si="2"/>
        <v>yokkkk</v>
      </c>
      <c r="J142" s="21"/>
      <c r="K142" s="22"/>
      <c r="L142" s="21"/>
      <c r="M142" s="21"/>
    </row>
    <row r="143" spans="1:13" ht="17.25" customHeight="1">
      <c r="A143" s="19">
        <v>51</v>
      </c>
      <c r="B143" s="5" t="s">
        <v>53</v>
      </c>
      <c r="C143" s="5" t="s">
        <v>677</v>
      </c>
      <c r="D143" s="5" t="s">
        <v>359</v>
      </c>
      <c r="E143" s="11">
        <v>34</v>
      </c>
      <c r="F143" s="12" t="s">
        <v>8</v>
      </c>
      <c r="G143" s="11">
        <v>1</v>
      </c>
      <c r="H143" s="11"/>
      <c r="I143" s="6" t="str">
        <f t="shared" si="2"/>
        <v>yokkkk</v>
      </c>
      <c r="J143" s="21"/>
      <c r="K143" s="22"/>
      <c r="L143" s="21"/>
      <c r="M143" s="21"/>
    </row>
    <row r="144" spans="1:13" ht="17.25" customHeight="1">
      <c r="A144" s="19">
        <v>51</v>
      </c>
      <c r="B144" s="5" t="s">
        <v>53</v>
      </c>
      <c r="C144" s="5" t="s">
        <v>677</v>
      </c>
      <c r="D144" s="5" t="s">
        <v>359</v>
      </c>
      <c r="E144" s="11">
        <v>37</v>
      </c>
      <c r="F144" s="12" t="s">
        <v>558</v>
      </c>
      <c r="G144" s="11">
        <v>3</v>
      </c>
      <c r="H144" s="11"/>
      <c r="I144" s="6" t="str">
        <f t="shared" si="2"/>
        <v>yokkkk</v>
      </c>
      <c r="J144" s="21"/>
      <c r="K144" s="22"/>
      <c r="L144" s="21"/>
      <c r="M144" s="21"/>
    </row>
    <row r="145" spans="1:13" ht="17.25" customHeight="1">
      <c r="A145" s="19">
        <v>51</v>
      </c>
      <c r="B145" s="5" t="s">
        <v>53</v>
      </c>
      <c r="C145" s="5" t="s">
        <v>677</v>
      </c>
      <c r="D145" s="5" t="s">
        <v>359</v>
      </c>
      <c r="E145" s="11">
        <v>41</v>
      </c>
      <c r="F145" s="12" t="s">
        <v>527</v>
      </c>
      <c r="G145" s="11">
        <v>5</v>
      </c>
      <c r="H145" s="11"/>
      <c r="I145" s="6" t="str">
        <f t="shared" si="2"/>
        <v>yokkkk</v>
      </c>
      <c r="J145" s="21"/>
      <c r="K145" s="22"/>
      <c r="L145" s="21"/>
      <c r="M145" s="21"/>
    </row>
    <row r="146" spans="1:13" ht="17.25" customHeight="1">
      <c r="A146" s="19">
        <v>51</v>
      </c>
      <c r="B146" s="5" t="s">
        <v>53</v>
      </c>
      <c r="C146" s="5" t="s">
        <v>677</v>
      </c>
      <c r="D146" s="5" t="s">
        <v>359</v>
      </c>
      <c r="E146" s="11">
        <v>49</v>
      </c>
      <c r="F146" s="12" t="s">
        <v>6</v>
      </c>
      <c r="G146" s="11">
        <v>2</v>
      </c>
      <c r="H146" s="11"/>
      <c r="I146" s="6" t="str">
        <f t="shared" si="2"/>
        <v>yokkkk</v>
      </c>
      <c r="J146" s="21"/>
      <c r="K146" s="22"/>
      <c r="L146" s="21"/>
      <c r="M146" s="21"/>
    </row>
    <row r="147" spans="1:13" ht="17.25" customHeight="1">
      <c r="A147" s="19">
        <v>51</v>
      </c>
      <c r="B147" s="5" t="s">
        <v>53</v>
      </c>
      <c r="C147" s="5" t="s">
        <v>677</v>
      </c>
      <c r="D147" s="5" t="s">
        <v>359</v>
      </c>
      <c r="E147" s="11">
        <v>51</v>
      </c>
      <c r="F147" s="12" t="s">
        <v>560</v>
      </c>
      <c r="G147" s="11">
        <v>4</v>
      </c>
      <c r="H147" s="11"/>
      <c r="I147" s="6" t="str">
        <f t="shared" si="2"/>
        <v>yokkkk</v>
      </c>
      <c r="J147" s="21"/>
      <c r="K147" s="22"/>
      <c r="L147" s="21"/>
      <c r="M147" s="21"/>
    </row>
    <row r="148" spans="1:13" ht="17.25" customHeight="1">
      <c r="A148" s="19">
        <v>17</v>
      </c>
      <c r="B148" s="5" t="s">
        <v>30</v>
      </c>
      <c r="C148" s="5" t="s">
        <v>633</v>
      </c>
      <c r="D148" s="5" t="s">
        <v>634</v>
      </c>
      <c r="E148" s="11">
        <v>16</v>
      </c>
      <c r="F148" s="12" t="s">
        <v>544</v>
      </c>
      <c r="G148" s="11">
        <v>1</v>
      </c>
      <c r="H148" s="11"/>
      <c r="I148" s="6" t="str">
        <f t="shared" si="2"/>
        <v>yokkkk</v>
      </c>
      <c r="J148" s="21"/>
      <c r="K148" s="22"/>
      <c r="L148" s="21"/>
      <c r="M148" s="21"/>
    </row>
    <row r="149" spans="1:13" ht="17.25" customHeight="1">
      <c r="A149" s="19">
        <v>17</v>
      </c>
      <c r="B149" s="5" t="s">
        <v>30</v>
      </c>
      <c r="C149" s="5" t="s">
        <v>633</v>
      </c>
      <c r="D149" s="5" t="s">
        <v>634</v>
      </c>
      <c r="E149" s="11">
        <v>83</v>
      </c>
      <c r="F149" s="12" t="s">
        <v>548</v>
      </c>
      <c r="G149" s="11">
        <v>2</v>
      </c>
      <c r="H149" s="11"/>
      <c r="I149" s="6" t="str">
        <f t="shared" si="2"/>
        <v>yokkkk</v>
      </c>
      <c r="J149" s="21"/>
      <c r="K149" s="22"/>
      <c r="L149" s="21"/>
      <c r="M149" s="21"/>
    </row>
    <row r="150" spans="1:13" ht="17.25" customHeight="1">
      <c r="A150" s="19">
        <v>17</v>
      </c>
      <c r="B150" s="5" t="s">
        <v>30</v>
      </c>
      <c r="C150" s="5" t="s">
        <v>633</v>
      </c>
      <c r="D150" s="5" t="s">
        <v>634</v>
      </c>
      <c r="E150" s="11">
        <v>85</v>
      </c>
      <c r="F150" s="12" t="s">
        <v>580</v>
      </c>
      <c r="G150" s="11">
        <v>3</v>
      </c>
      <c r="H150" s="11"/>
      <c r="I150" s="6" t="str">
        <f t="shared" si="2"/>
        <v>yokkkk</v>
      </c>
      <c r="J150" s="21"/>
      <c r="K150" s="22"/>
      <c r="L150" s="21"/>
      <c r="M150" s="21"/>
    </row>
    <row r="151" spans="1:13" ht="17.25" customHeight="1">
      <c r="A151" s="19">
        <v>17</v>
      </c>
      <c r="B151" s="5" t="s">
        <v>30</v>
      </c>
      <c r="C151" s="5" t="s">
        <v>633</v>
      </c>
      <c r="D151" s="5" t="s">
        <v>634</v>
      </c>
      <c r="E151" s="11">
        <v>88</v>
      </c>
      <c r="F151" s="12" t="s">
        <v>953</v>
      </c>
      <c r="G151" s="11">
        <v>4</v>
      </c>
      <c r="H151" s="11"/>
      <c r="I151" s="6" t="str">
        <f t="shared" si="2"/>
        <v>yokkkk</v>
      </c>
      <c r="J151" s="21"/>
      <c r="K151" s="22"/>
      <c r="L151" s="21"/>
      <c r="M151" s="21"/>
    </row>
    <row r="152" spans="1:13" ht="17.25" customHeight="1">
      <c r="A152" s="19">
        <v>17</v>
      </c>
      <c r="B152" s="5" t="s">
        <v>30</v>
      </c>
      <c r="C152" s="5" t="s">
        <v>633</v>
      </c>
      <c r="D152" s="5" t="s">
        <v>634</v>
      </c>
      <c r="E152" s="11">
        <v>92</v>
      </c>
      <c r="F152" s="12" t="s">
        <v>531</v>
      </c>
      <c r="G152" s="11">
        <v>5</v>
      </c>
      <c r="H152" s="11"/>
      <c r="I152" s="6" t="str">
        <f t="shared" si="2"/>
        <v>yokkkk</v>
      </c>
      <c r="J152" s="21"/>
      <c r="K152" s="22"/>
      <c r="L152" s="21"/>
      <c r="M152" s="21"/>
    </row>
    <row r="153" spans="1:13" ht="17.25" customHeight="1">
      <c r="A153" s="19">
        <v>186</v>
      </c>
      <c r="B153" s="5" t="s">
        <v>123</v>
      </c>
      <c r="C153" s="5" t="s">
        <v>125</v>
      </c>
      <c r="D153" s="5" t="s">
        <v>312</v>
      </c>
      <c r="E153" s="11">
        <v>23</v>
      </c>
      <c r="F153" s="12" t="s">
        <v>7</v>
      </c>
      <c r="G153" s="11">
        <v>2</v>
      </c>
      <c r="H153" s="11"/>
      <c r="I153" s="6" t="str">
        <f t="shared" si="2"/>
        <v>yokkkk</v>
      </c>
      <c r="J153" s="21"/>
      <c r="K153" s="22"/>
      <c r="L153" s="21"/>
      <c r="M153" s="21"/>
    </row>
    <row r="154" spans="1:13" ht="17.25" customHeight="1">
      <c r="A154" s="19">
        <v>186</v>
      </c>
      <c r="B154" s="5" t="s">
        <v>123</v>
      </c>
      <c r="C154" s="5" t="s">
        <v>125</v>
      </c>
      <c r="D154" s="5" t="s">
        <v>312</v>
      </c>
      <c r="E154" s="11">
        <v>24</v>
      </c>
      <c r="F154" s="12" t="s">
        <v>951</v>
      </c>
      <c r="G154" s="11">
        <v>1</v>
      </c>
      <c r="H154" s="11"/>
      <c r="I154" s="6" t="str">
        <f t="shared" si="2"/>
        <v>yokkkk</v>
      </c>
      <c r="J154" s="21"/>
      <c r="K154" s="22"/>
      <c r="L154" s="21"/>
      <c r="M154" s="21"/>
    </row>
    <row r="155" spans="1:13" ht="17.25" customHeight="1">
      <c r="A155" s="19">
        <v>277</v>
      </c>
      <c r="B155" s="5" t="s">
        <v>164</v>
      </c>
      <c r="C155" s="5" t="s">
        <v>369</v>
      </c>
      <c r="D155" s="5" t="s">
        <v>35</v>
      </c>
      <c r="E155" s="11">
        <v>31</v>
      </c>
      <c r="F155" s="12" t="s">
        <v>946</v>
      </c>
      <c r="G155" s="11">
        <v>4</v>
      </c>
      <c r="H155" s="11"/>
      <c r="I155" s="6" t="str">
        <f t="shared" si="2"/>
        <v xml:space="preserve"> var</v>
      </c>
      <c r="J155" s="21"/>
      <c r="K155" s="22"/>
      <c r="L155" s="21"/>
      <c r="M155" s="21"/>
    </row>
    <row r="156" spans="1:13" ht="17.25" customHeight="1">
      <c r="A156" s="19">
        <v>277</v>
      </c>
      <c r="B156" s="5" t="s">
        <v>164</v>
      </c>
      <c r="C156" s="5" t="s">
        <v>369</v>
      </c>
      <c r="D156" s="5" t="s">
        <v>35</v>
      </c>
      <c r="E156" s="11">
        <v>34</v>
      </c>
      <c r="F156" s="12" t="s">
        <v>8</v>
      </c>
      <c r="G156" s="11">
        <v>5</v>
      </c>
      <c r="H156" s="11"/>
      <c r="I156" s="6" t="str">
        <f t="shared" si="2"/>
        <v xml:space="preserve"> var</v>
      </c>
      <c r="J156" s="21"/>
      <c r="K156" s="22"/>
      <c r="L156" s="21"/>
      <c r="M156" s="21"/>
    </row>
    <row r="157" spans="1:13" ht="17.25" customHeight="1">
      <c r="A157" s="19">
        <v>277</v>
      </c>
      <c r="B157" s="5" t="s">
        <v>164</v>
      </c>
      <c r="C157" s="5" t="s">
        <v>369</v>
      </c>
      <c r="D157" s="5" t="s">
        <v>35</v>
      </c>
      <c r="E157" s="11">
        <v>49</v>
      </c>
      <c r="F157" s="12" t="s">
        <v>6</v>
      </c>
      <c r="G157" s="11">
        <v>3</v>
      </c>
      <c r="H157" s="11"/>
      <c r="I157" s="6" t="str">
        <f t="shared" si="2"/>
        <v xml:space="preserve"> var</v>
      </c>
      <c r="J157" s="21"/>
      <c r="K157" s="22"/>
      <c r="L157" s="21"/>
      <c r="M157" s="21"/>
    </row>
    <row r="158" spans="1:13" ht="17.25" customHeight="1">
      <c r="A158" s="19">
        <v>277</v>
      </c>
      <c r="B158" s="5" t="s">
        <v>164</v>
      </c>
      <c r="C158" s="5" t="s">
        <v>369</v>
      </c>
      <c r="D158" s="5" t="s">
        <v>35</v>
      </c>
      <c r="E158" s="11">
        <v>55</v>
      </c>
      <c r="F158" s="12" t="s">
        <v>238</v>
      </c>
      <c r="G158" s="11">
        <v>1</v>
      </c>
      <c r="H158" s="11"/>
      <c r="I158" s="6" t="str">
        <f t="shared" si="2"/>
        <v xml:space="preserve"> var</v>
      </c>
      <c r="J158" s="21"/>
      <c r="K158" s="22"/>
      <c r="L158" s="21"/>
      <c r="M158" s="21"/>
    </row>
    <row r="159" spans="1:13" ht="17.25" customHeight="1">
      <c r="A159" s="19">
        <v>277</v>
      </c>
      <c r="B159" s="5" t="s">
        <v>164</v>
      </c>
      <c r="C159" s="5" t="s">
        <v>369</v>
      </c>
      <c r="D159" s="5" t="s">
        <v>35</v>
      </c>
      <c r="E159" s="11">
        <v>60</v>
      </c>
      <c r="F159" s="12" t="s">
        <v>555</v>
      </c>
      <c r="G159" s="11">
        <v>7</v>
      </c>
      <c r="H159" s="11"/>
      <c r="I159" s="6" t="str">
        <f t="shared" si="2"/>
        <v xml:space="preserve"> var</v>
      </c>
      <c r="J159" s="21"/>
      <c r="K159" s="22"/>
      <c r="L159" s="21"/>
      <c r="M159" s="21"/>
    </row>
    <row r="160" spans="1:13" ht="17.25" customHeight="1">
      <c r="A160" s="19">
        <v>277</v>
      </c>
      <c r="B160" s="5" t="s">
        <v>164</v>
      </c>
      <c r="C160" s="5" t="s">
        <v>369</v>
      </c>
      <c r="D160" s="5" t="s">
        <v>35</v>
      </c>
      <c r="E160" s="11">
        <v>67</v>
      </c>
      <c r="F160" s="12" t="s">
        <v>954</v>
      </c>
      <c r="G160" s="11">
        <v>2</v>
      </c>
      <c r="H160" s="11"/>
      <c r="I160" s="6" t="str">
        <f t="shared" si="2"/>
        <v xml:space="preserve"> var</v>
      </c>
      <c r="J160" s="21"/>
      <c r="K160" s="22"/>
      <c r="L160" s="21"/>
      <c r="M160" s="21"/>
    </row>
    <row r="161" spans="1:13" ht="17.25" customHeight="1">
      <c r="A161" s="19">
        <v>277</v>
      </c>
      <c r="B161" s="5" t="s">
        <v>164</v>
      </c>
      <c r="C161" s="5" t="s">
        <v>369</v>
      </c>
      <c r="D161" s="5" t="s">
        <v>35</v>
      </c>
      <c r="E161" s="11">
        <v>84</v>
      </c>
      <c r="F161" s="12" t="s">
        <v>237</v>
      </c>
      <c r="G161" s="11">
        <v>6</v>
      </c>
      <c r="H161" s="11"/>
      <c r="I161" s="6" t="str">
        <f t="shared" si="2"/>
        <v xml:space="preserve"> var</v>
      </c>
      <c r="J161" s="21"/>
      <c r="K161" s="22"/>
      <c r="L161" s="21"/>
      <c r="M161" s="21"/>
    </row>
    <row r="162" spans="1:13" ht="17.25" customHeight="1">
      <c r="A162" s="19">
        <v>206</v>
      </c>
      <c r="B162" s="5" t="s">
        <v>136</v>
      </c>
      <c r="C162" s="5" t="s">
        <v>43</v>
      </c>
      <c r="D162" s="5" t="s">
        <v>99</v>
      </c>
      <c r="E162" s="11">
        <v>4</v>
      </c>
      <c r="F162" s="12" t="s">
        <v>3</v>
      </c>
      <c r="G162" s="11">
        <v>4</v>
      </c>
      <c r="H162" s="11"/>
      <c r="I162" s="6" t="str">
        <f t="shared" si="2"/>
        <v>yokkkk</v>
      </c>
      <c r="J162" s="21"/>
      <c r="K162" s="22"/>
      <c r="L162" s="21"/>
      <c r="M162" s="21"/>
    </row>
    <row r="163" spans="1:13" ht="17.25" customHeight="1">
      <c r="A163" s="19">
        <v>206</v>
      </c>
      <c r="B163" s="5" t="s">
        <v>136</v>
      </c>
      <c r="C163" s="5" t="s">
        <v>43</v>
      </c>
      <c r="D163" s="5" t="s">
        <v>99</v>
      </c>
      <c r="E163" s="11">
        <v>18</v>
      </c>
      <c r="F163" s="12" t="s">
        <v>9</v>
      </c>
      <c r="G163" s="11">
        <v>1</v>
      </c>
      <c r="H163" s="11"/>
      <c r="I163" s="6" t="str">
        <f t="shared" si="2"/>
        <v>yokkkk</v>
      </c>
      <c r="J163" s="21"/>
      <c r="K163" s="22"/>
      <c r="L163" s="21"/>
      <c r="M163" s="21"/>
    </row>
    <row r="164" spans="1:13" ht="17.25" customHeight="1">
      <c r="A164" s="19">
        <v>206</v>
      </c>
      <c r="B164" s="5" t="s">
        <v>136</v>
      </c>
      <c r="C164" s="5" t="s">
        <v>43</v>
      </c>
      <c r="D164" s="5" t="s">
        <v>99</v>
      </c>
      <c r="E164" s="11">
        <v>56</v>
      </c>
      <c r="F164" s="12" t="s">
        <v>948</v>
      </c>
      <c r="G164" s="11">
        <v>2</v>
      </c>
      <c r="H164" s="11"/>
      <c r="I164" s="6" t="str">
        <f t="shared" si="2"/>
        <v>yokkkk</v>
      </c>
      <c r="J164" s="21"/>
      <c r="K164" s="22"/>
      <c r="L164" s="21"/>
      <c r="M164" s="21"/>
    </row>
    <row r="165" spans="1:13" ht="17.25" customHeight="1">
      <c r="A165" s="19">
        <v>206</v>
      </c>
      <c r="B165" s="5" t="s">
        <v>136</v>
      </c>
      <c r="C165" s="5" t="s">
        <v>43</v>
      </c>
      <c r="D165" s="5" t="s">
        <v>99</v>
      </c>
      <c r="E165" s="11">
        <v>80</v>
      </c>
      <c r="F165" s="12" t="s">
        <v>945</v>
      </c>
      <c r="G165" s="11">
        <v>5</v>
      </c>
      <c r="H165" s="11"/>
      <c r="I165" s="6" t="str">
        <f t="shared" si="2"/>
        <v>yokkkk</v>
      </c>
      <c r="J165" s="21"/>
      <c r="K165" s="22"/>
      <c r="L165" s="21"/>
      <c r="M165" s="21"/>
    </row>
    <row r="166" spans="1:13" ht="17.25" customHeight="1">
      <c r="A166" s="19">
        <v>206</v>
      </c>
      <c r="B166" s="5" t="s">
        <v>136</v>
      </c>
      <c r="C166" s="5" t="s">
        <v>43</v>
      </c>
      <c r="D166" s="5" t="s">
        <v>99</v>
      </c>
      <c r="E166" s="11">
        <v>84</v>
      </c>
      <c r="F166" s="12" t="s">
        <v>237</v>
      </c>
      <c r="G166" s="11">
        <v>3</v>
      </c>
      <c r="H166" s="11"/>
      <c r="I166" s="6" t="str">
        <f t="shared" si="2"/>
        <v>yokkkk</v>
      </c>
      <c r="J166" s="21"/>
      <c r="K166" s="22"/>
      <c r="L166" s="21"/>
      <c r="M166" s="21"/>
    </row>
    <row r="167" spans="1:13" ht="17.25" customHeight="1">
      <c r="A167" s="19">
        <v>26</v>
      </c>
      <c r="B167" s="5" t="s">
        <v>31</v>
      </c>
      <c r="C167" s="5" t="s">
        <v>641</v>
      </c>
      <c r="D167" s="5" t="s">
        <v>642</v>
      </c>
      <c r="E167" s="11">
        <v>78</v>
      </c>
      <c r="F167" s="12" t="s">
        <v>574</v>
      </c>
      <c r="G167" s="11">
        <v>1</v>
      </c>
      <c r="H167" s="11"/>
      <c r="I167" s="6" t="str">
        <f t="shared" si="2"/>
        <v>yokkkk</v>
      </c>
      <c r="J167" s="21"/>
      <c r="K167" s="22"/>
      <c r="L167" s="21"/>
      <c r="M167" s="21"/>
    </row>
    <row r="168" spans="1:13" ht="17.25" customHeight="1">
      <c r="A168" s="19">
        <v>161</v>
      </c>
      <c r="B168" s="5" t="s">
        <v>104</v>
      </c>
      <c r="C168" s="5" t="s">
        <v>303</v>
      </c>
      <c r="D168" s="5" t="s">
        <v>304</v>
      </c>
      <c r="E168" s="11">
        <v>11</v>
      </c>
      <c r="F168" s="12" t="s">
        <v>539</v>
      </c>
      <c r="G168" s="11">
        <v>3</v>
      </c>
      <c r="H168" s="11"/>
      <c r="I168" s="6" t="str">
        <f t="shared" si="2"/>
        <v>yokkkk</v>
      </c>
      <c r="J168" s="21"/>
      <c r="K168" s="22"/>
      <c r="L168" s="21"/>
      <c r="M168" s="21"/>
    </row>
    <row r="169" spans="1:13" ht="17.25" customHeight="1">
      <c r="A169" s="19">
        <v>161</v>
      </c>
      <c r="B169" s="5" t="s">
        <v>104</v>
      </c>
      <c r="C169" s="5" t="s">
        <v>303</v>
      </c>
      <c r="D169" s="5" t="s">
        <v>304</v>
      </c>
      <c r="E169" s="11">
        <v>38</v>
      </c>
      <c r="F169" s="12" t="s">
        <v>534</v>
      </c>
      <c r="G169" s="11">
        <v>2</v>
      </c>
      <c r="H169" s="11"/>
      <c r="I169" s="6" t="str">
        <f t="shared" si="2"/>
        <v>yokkkk</v>
      </c>
      <c r="J169" s="21"/>
      <c r="K169" s="22"/>
      <c r="L169" s="21"/>
      <c r="M169" s="21"/>
    </row>
    <row r="170" spans="1:13" ht="17.25" customHeight="1">
      <c r="A170" s="19">
        <v>161</v>
      </c>
      <c r="B170" s="5" t="s">
        <v>104</v>
      </c>
      <c r="C170" s="5" t="s">
        <v>303</v>
      </c>
      <c r="D170" s="5" t="s">
        <v>304</v>
      </c>
      <c r="E170" s="11">
        <v>53</v>
      </c>
      <c r="F170" s="12" t="s">
        <v>562</v>
      </c>
      <c r="G170" s="11">
        <v>1</v>
      </c>
      <c r="H170" s="11"/>
      <c r="I170" s="6" t="str">
        <f t="shared" si="2"/>
        <v>yokkkk</v>
      </c>
      <c r="J170" s="21"/>
      <c r="K170" s="22"/>
      <c r="L170" s="21"/>
      <c r="M170" s="21"/>
    </row>
    <row r="171" spans="1:13" ht="17.25" customHeight="1">
      <c r="A171" s="19">
        <v>69</v>
      </c>
      <c r="B171" s="5" t="s">
        <v>65</v>
      </c>
      <c r="C171" s="5" t="s">
        <v>261</v>
      </c>
      <c r="D171" s="5" t="s">
        <v>262</v>
      </c>
      <c r="E171" s="11">
        <v>2</v>
      </c>
      <c r="F171" s="12" t="s">
        <v>529</v>
      </c>
      <c r="G171" s="11">
        <v>2</v>
      </c>
      <c r="H171" s="11"/>
      <c r="I171" s="6" t="str">
        <f t="shared" si="2"/>
        <v>yokkkk</v>
      </c>
      <c r="J171" s="21"/>
      <c r="K171" s="22"/>
      <c r="L171" s="21"/>
      <c r="M171" s="21"/>
    </row>
    <row r="172" spans="1:13" ht="17.25" customHeight="1">
      <c r="A172" s="19">
        <v>69</v>
      </c>
      <c r="B172" s="5" t="s">
        <v>65</v>
      </c>
      <c r="C172" s="5" t="s">
        <v>261</v>
      </c>
      <c r="D172" s="5" t="s">
        <v>262</v>
      </c>
      <c r="E172" s="11">
        <v>9</v>
      </c>
      <c r="F172" s="12" t="s">
        <v>537</v>
      </c>
      <c r="G172" s="11">
        <v>4</v>
      </c>
      <c r="H172" s="11"/>
      <c r="I172" s="6" t="str">
        <f t="shared" si="2"/>
        <v>yokkkk</v>
      </c>
      <c r="J172" s="21"/>
      <c r="K172" s="22"/>
      <c r="L172" s="21"/>
      <c r="M172" s="21"/>
    </row>
    <row r="173" spans="1:13" ht="17.25" customHeight="1">
      <c r="A173" s="19">
        <v>69</v>
      </c>
      <c r="B173" s="5" t="s">
        <v>65</v>
      </c>
      <c r="C173" s="5" t="s">
        <v>261</v>
      </c>
      <c r="D173" s="5" t="s">
        <v>262</v>
      </c>
      <c r="E173" s="11">
        <v>31</v>
      </c>
      <c r="F173" s="12" t="s">
        <v>946</v>
      </c>
      <c r="G173" s="11">
        <v>1</v>
      </c>
      <c r="H173" s="11"/>
      <c r="I173" s="6" t="str">
        <f t="shared" si="2"/>
        <v>yokkkk</v>
      </c>
      <c r="J173" s="21"/>
      <c r="K173" s="22"/>
      <c r="L173" s="21"/>
      <c r="M173" s="21"/>
    </row>
    <row r="174" spans="1:13" ht="17.25" customHeight="1">
      <c r="A174" s="19">
        <v>69</v>
      </c>
      <c r="B174" s="5" t="s">
        <v>65</v>
      </c>
      <c r="C174" s="5" t="s">
        <v>261</v>
      </c>
      <c r="D174" s="5" t="s">
        <v>262</v>
      </c>
      <c r="E174" s="11">
        <v>38</v>
      </c>
      <c r="F174" s="12" t="s">
        <v>534</v>
      </c>
      <c r="G174" s="11">
        <v>3</v>
      </c>
      <c r="H174" s="11"/>
      <c r="I174" s="6" t="str">
        <f t="shared" si="2"/>
        <v>yokkkk</v>
      </c>
      <c r="J174" s="21"/>
      <c r="K174" s="22"/>
      <c r="L174" s="21"/>
      <c r="M174" s="21"/>
    </row>
    <row r="175" spans="1:13" ht="17.25" customHeight="1">
      <c r="A175" s="19">
        <v>69</v>
      </c>
      <c r="B175" s="5" t="s">
        <v>65</v>
      </c>
      <c r="C175" s="5" t="s">
        <v>261</v>
      </c>
      <c r="D175" s="5" t="s">
        <v>262</v>
      </c>
      <c r="E175" s="11">
        <v>64</v>
      </c>
      <c r="F175" s="12" t="s">
        <v>577</v>
      </c>
      <c r="G175" s="11">
        <v>5</v>
      </c>
      <c r="H175" s="11"/>
      <c r="I175" s="6" t="str">
        <f t="shared" si="2"/>
        <v>yokkkk</v>
      </c>
      <c r="J175" s="21"/>
      <c r="K175" s="22"/>
      <c r="L175" s="21"/>
      <c r="M175" s="21"/>
    </row>
    <row r="176" spans="1:13" ht="17.25" customHeight="1">
      <c r="A176" s="19">
        <v>102</v>
      </c>
      <c r="B176" s="5" t="s">
        <v>92</v>
      </c>
      <c r="C176" s="5" t="s">
        <v>17</v>
      </c>
      <c r="D176" s="5" t="s">
        <v>18</v>
      </c>
      <c r="E176" s="11">
        <v>10</v>
      </c>
      <c r="F176" s="12" t="s">
        <v>538</v>
      </c>
      <c r="G176" s="11">
        <v>1</v>
      </c>
      <c r="H176" s="11"/>
      <c r="I176" s="6" t="str">
        <f t="shared" si="2"/>
        <v>yokkkk</v>
      </c>
      <c r="J176" s="21"/>
      <c r="K176" s="22"/>
      <c r="L176" s="21"/>
      <c r="M176" s="21"/>
    </row>
    <row r="177" spans="1:13" ht="17.25" customHeight="1">
      <c r="A177" s="19">
        <v>102</v>
      </c>
      <c r="B177" s="5" t="s">
        <v>92</v>
      </c>
      <c r="C177" s="5" t="s">
        <v>17</v>
      </c>
      <c r="D177" s="5" t="s">
        <v>18</v>
      </c>
      <c r="E177" s="11">
        <v>28</v>
      </c>
      <c r="F177" s="12" t="s">
        <v>570</v>
      </c>
      <c r="G177" s="11">
        <v>2</v>
      </c>
      <c r="H177" s="11"/>
      <c r="I177" s="6" t="str">
        <f t="shared" si="2"/>
        <v>yokkkk</v>
      </c>
      <c r="J177" s="21"/>
      <c r="K177" s="22"/>
      <c r="L177" s="21"/>
      <c r="M177" s="21"/>
    </row>
    <row r="178" spans="1:13" ht="17.25" customHeight="1">
      <c r="A178" s="19">
        <v>102</v>
      </c>
      <c r="B178" s="5" t="s">
        <v>92</v>
      </c>
      <c r="C178" s="5" t="s">
        <v>17</v>
      </c>
      <c r="D178" s="5" t="s">
        <v>18</v>
      </c>
      <c r="E178" s="11">
        <v>48</v>
      </c>
      <c r="F178" s="12" t="s">
        <v>957</v>
      </c>
      <c r="G178" s="11">
        <v>3</v>
      </c>
      <c r="H178" s="11"/>
      <c r="I178" s="6" t="str">
        <f t="shared" si="2"/>
        <v>yokkkk</v>
      </c>
      <c r="J178" s="21"/>
      <c r="K178" s="22"/>
      <c r="L178" s="21"/>
      <c r="M178" s="21"/>
    </row>
    <row r="179" spans="1:13" ht="17.25" customHeight="1">
      <c r="A179" s="19">
        <v>102</v>
      </c>
      <c r="B179" s="5" t="s">
        <v>92</v>
      </c>
      <c r="C179" s="5" t="s">
        <v>17</v>
      </c>
      <c r="D179" s="5" t="s">
        <v>18</v>
      </c>
      <c r="E179" s="11">
        <v>63</v>
      </c>
      <c r="F179" s="12" t="s">
        <v>579</v>
      </c>
      <c r="G179" s="11">
        <v>4</v>
      </c>
      <c r="H179" s="11"/>
      <c r="I179" s="6" t="str">
        <f t="shared" si="2"/>
        <v>yokkkk</v>
      </c>
      <c r="J179" s="21"/>
      <c r="K179" s="22"/>
      <c r="L179" s="21"/>
      <c r="M179" s="21"/>
    </row>
    <row r="180" spans="1:13" ht="17.25" customHeight="1">
      <c r="A180" s="19">
        <v>102</v>
      </c>
      <c r="B180" s="5" t="s">
        <v>92</v>
      </c>
      <c r="C180" s="5" t="s">
        <v>17</v>
      </c>
      <c r="D180" s="5" t="s">
        <v>18</v>
      </c>
      <c r="E180" s="11">
        <v>97</v>
      </c>
      <c r="F180" s="12" t="s">
        <v>939</v>
      </c>
      <c r="G180" s="11">
        <v>5</v>
      </c>
      <c r="H180" s="11"/>
      <c r="I180" s="6" t="str">
        <f t="shared" si="2"/>
        <v>yokkkk</v>
      </c>
      <c r="J180" s="21"/>
      <c r="K180" s="22"/>
      <c r="L180" s="21"/>
      <c r="M180" s="21"/>
    </row>
    <row r="181" spans="1:13" ht="17.25" customHeight="1">
      <c r="A181" s="19">
        <v>67</v>
      </c>
      <c r="B181" s="5" t="s">
        <v>65</v>
      </c>
      <c r="C181" s="5" t="s">
        <v>696</v>
      </c>
      <c r="D181" s="5" t="s">
        <v>697</v>
      </c>
      <c r="E181" s="11">
        <v>28</v>
      </c>
      <c r="F181" s="12" t="s">
        <v>570</v>
      </c>
      <c r="G181" s="11">
        <v>4</v>
      </c>
      <c r="H181" s="11"/>
      <c r="I181" s="6" t="str">
        <f t="shared" si="2"/>
        <v>yokkkk</v>
      </c>
      <c r="J181" s="21"/>
      <c r="K181" s="22"/>
      <c r="L181" s="21"/>
      <c r="M181" s="21"/>
    </row>
    <row r="182" spans="1:13" ht="17.25" customHeight="1">
      <c r="A182" s="19">
        <v>67</v>
      </c>
      <c r="B182" s="5" t="s">
        <v>65</v>
      </c>
      <c r="C182" s="5" t="s">
        <v>696</v>
      </c>
      <c r="D182" s="5" t="s">
        <v>697</v>
      </c>
      <c r="E182" s="11">
        <v>48</v>
      </c>
      <c r="F182" s="12" t="s">
        <v>957</v>
      </c>
      <c r="G182" s="11">
        <v>3</v>
      </c>
      <c r="H182" s="11"/>
      <c r="I182" s="6" t="str">
        <f t="shared" si="2"/>
        <v>yokkkk</v>
      </c>
      <c r="J182" s="21"/>
      <c r="K182" s="22"/>
      <c r="L182" s="21"/>
      <c r="M182" s="21"/>
    </row>
    <row r="183" spans="1:13" ht="17.25" customHeight="1">
      <c r="A183" s="19">
        <v>67</v>
      </c>
      <c r="B183" s="5" t="s">
        <v>65</v>
      </c>
      <c r="C183" s="5" t="s">
        <v>696</v>
      </c>
      <c r="D183" s="5" t="s">
        <v>697</v>
      </c>
      <c r="E183" s="11">
        <v>61</v>
      </c>
      <c r="F183" s="12" t="s">
        <v>576</v>
      </c>
      <c r="G183" s="11">
        <v>5</v>
      </c>
      <c r="H183" s="11"/>
      <c r="I183" s="6" t="str">
        <f t="shared" si="2"/>
        <v>yokkkk</v>
      </c>
      <c r="J183" s="21"/>
      <c r="K183" s="22"/>
      <c r="L183" s="21"/>
      <c r="M183" s="21"/>
    </row>
    <row r="184" spans="1:13" ht="17.25" customHeight="1">
      <c r="A184" s="19">
        <v>67</v>
      </c>
      <c r="B184" s="5" t="s">
        <v>65</v>
      </c>
      <c r="C184" s="5" t="s">
        <v>696</v>
      </c>
      <c r="D184" s="5" t="s">
        <v>697</v>
      </c>
      <c r="E184" s="11">
        <v>85</v>
      </c>
      <c r="F184" s="12" t="s">
        <v>580</v>
      </c>
      <c r="G184" s="11">
        <v>1</v>
      </c>
      <c r="H184" s="11"/>
      <c r="I184" s="6" t="str">
        <f t="shared" si="2"/>
        <v>yokkkk</v>
      </c>
      <c r="J184" s="21"/>
      <c r="K184" s="22"/>
      <c r="L184" s="21"/>
      <c r="M184" s="21"/>
    </row>
    <row r="185" spans="1:13" ht="17.25" customHeight="1">
      <c r="A185" s="19">
        <v>67</v>
      </c>
      <c r="B185" s="5" t="s">
        <v>65</v>
      </c>
      <c r="C185" s="5" t="s">
        <v>696</v>
      </c>
      <c r="D185" s="5" t="s">
        <v>697</v>
      </c>
      <c r="E185" s="11">
        <v>97</v>
      </c>
      <c r="F185" s="12" t="s">
        <v>939</v>
      </c>
      <c r="G185" s="11">
        <v>2</v>
      </c>
      <c r="H185" s="11"/>
      <c r="I185" s="6" t="str">
        <f t="shared" si="2"/>
        <v>yokkkk</v>
      </c>
      <c r="J185" s="21"/>
      <c r="K185" s="22"/>
      <c r="L185" s="21"/>
      <c r="M185" s="21"/>
    </row>
    <row r="186" spans="1:13" ht="17.25" customHeight="1">
      <c r="A186" s="19">
        <v>61</v>
      </c>
      <c r="B186" s="5" t="s">
        <v>65</v>
      </c>
      <c r="C186" s="5" t="s">
        <v>15</v>
      </c>
      <c r="D186" s="5" t="s">
        <v>259</v>
      </c>
      <c r="E186" s="11">
        <v>27</v>
      </c>
      <c r="F186" s="12" t="s">
        <v>569</v>
      </c>
      <c r="G186" s="11">
        <v>1</v>
      </c>
      <c r="H186" s="11"/>
      <c r="I186" s="6" t="str">
        <f t="shared" si="2"/>
        <v>yokkkk</v>
      </c>
      <c r="J186" s="21"/>
      <c r="K186" s="22"/>
      <c r="L186" s="21"/>
      <c r="M186" s="21"/>
    </row>
    <row r="187" spans="1:13" ht="17.25" customHeight="1">
      <c r="A187" s="19">
        <v>61</v>
      </c>
      <c r="B187" s="5" t="s">
        <v>65</v>
      </c>
      <c r="C187" s="5" t="s">
        <v>15</v>
      </c>
      <c r="D187" s="5" t="s">
        <v>259</v>
      </c>
      <c r="E187" s="11">
        <v>28</v>
      </c>
      <c r="F187" s="12" t="s">
        <v>570</v>
      </c>
      <c r="G187" s="11">
        <v>4</v>
      </c>
      <c r="H187" s="11"/>
      <c r="I187" s="6" t="str">
        <f t="shared" si="2"/>
        <v>yokkkk</v>
      </c>
      <c r="J187" s="21"/>
      <c r="K187" s="22"/>
      <c r="L187" s="21"/>
      <c r="M187" s="21"/>
    </row>
    <row r="188" spans="1:13" ht="17.25" customHeight="1">
      <c r="A188" s="19">
        <v>61</v>
      </c>
      <c r="B188" s="5" t="s">
        <v>65</v>
      </c>
      <c r="C188" s="5" t="s">
        <v>15</v>
      </c>
      <c r="D188" s="5" t="s">
        <v>259</v>
      </c>
      <c r="E188" s="11">
        <v>29</v>
      </c>
      <c r="F188" s="12" t="s">
        <v>571</v>
      </c>
      <c r="G188" s="11">
        <v>5</v>
      </c>
      <c r="H188" s="11"/>
      <c r="I188" s="6" t="str">
        <f t="shared" si="2"/>
        <v>yokkkk</v>
      </c>
      <c r="J188" s="21"/>
      <c r="K188" s="22"/>
      <c r="L188" s="21"/>
      <c r="M188" s="21"/>
    </row>
    <row r="189" spans="1:13" ht="17.25" customHeight="1">
      <c r="A189" s="19">
        <v>61</v>
      </c>
      <c r="B189" s="5" t="s">
        <v>65</v>
      </c>
      <c r="C189" s="5" t="s">
        <v>15</v>
      </c>
      <c r="D189" s="5" t="s">
        <v>259</v>
      </c>
      <c r="E189" s="11">
        <v>38</v>
      </c>
      <c r="F189" s="12" t="s">
        <v>534</v>
      </c>
      <c r="G189" s="11">
        <v>2</v>
      </c>
      <c r="H189" s="11"/>
      <c r="I189" s="6" t="str">
        <f t="shared" si="2"/>
        <v>yokkkk</v>
      </c>
      <c r="J189" s="21"/>
      <c r="K189" s="22"/>
      <c r="L189" s="21"/>
      <c r="M189" s="21"/>
    </row>
    <row r="190" spans="1:13" ht="17.25" customHeight="1">
      <c r="A190" s="19">
        <v>61</v>
      </c>
      <c r="B190" s="5" t="s">
        <v>65</v>
      </c>
      <c r="C190" s="5" t="s">
        <v>15</v>
      </c>
      <c r="D190" s="5" t="s">
        <v>259</v>
      </c>
      <c r="E190" s="11">
        <v>46</v>
      </c>
      <c r="F190" s="12" t="s">
        <v>568</v>
      </c>
      <c r="G190" s="11">
        <v>3</v>
      </c>
      <c r="H190" s="11"/>
      <c r="I190" s="6" t="str">
        <f t="shared" si="2"/>
        <v>yokkkk</v>
      </c>
      <c r="J190" s="21"/>
      <c r="K190" s="22"/>
      <c r="L190" s="21"/>
      <c r="M190" s="21"/>
    </row>
    <row r="191" spans="1:13" ht="17.25" customHeight="1">
      <c r="A191" s="19">
        <v>248</v>
      </c>
      <c r="B191" s="5" t="s">
        <v>153</v>
      </c>
      <c r="C191" s="5" t="s">
        <v>350</v>
      </c>
      <c r="D191" s="5" t="s">
        <v>89</v>
      </c>
      <c r="E191" s="11">
        <v>9</v>
      </c>
      <c r="F191" s="12" t="s">
        <v>537</v>
      </c>
      <c r="G191" s="11">
        <v>1</v>
      </c>
      <c r="H191" s="11"/>
      <c r="I191" s="6" t="str">
        <f t="shared" si="2"/>
        <v>yokkkk</v>
      </c>
      <c r="J191" s="21"/>
      <c r="K191" s="22"/>
      <c r="L191" s="21"/>
      <c r="M191" s="21"/>
    </row>
    <row r="192" spans="1:13" ht="17.25" customHeight="1">
      <c r="A192" s="19">
        <v>248</v>
      </c>
      <c r="B192" s="5" t="s">
        <v>153</v>
      </c>
      <c r="C192" s="5" t="s">
        <v>350</v>
      </c>
      <c r="D192" s="5" t="s">
        <v>89</v>
      </c>
      <c r="E192" s="11">
        <v>29</v>
      </c>
      <c r="F192" s="12" t="s">
        <v>571</v>
      </c>
      <c r="G192" s="11">
        <v>5</v>
      </c>
      <c r="H192" s="11"/>
      <c r="I192" s="6" t="str">
        <f t="shared" si="2"/>
        <v>yokkkk</v>
      </c>
      <c r="J192" s="21"/>
      <c r="K192" s="22"/>
      <c r="L192" s="21"/>
      <c r="M192" s="21"/>
    </row>
    <row r="193" spans="1:13" ht="17.25" customHeight="1">
      <c r="A193" s="19">
        <v>248</v>
      </c>
      <c r="B193" s="5" t="s">
        <v>153</v>
      </c>
      <c r="C193" s="5" t="s">
        <v>350</v>
      </c>
      <c r="D193" s="5" t="s">
        <v>89</v>
      </c>
      <c r="E193" s="11">
        <v>54</v>
      </c>
      <c r="F193" s="12" t="s">
        <v>533</v>
      </c>
      <c r="G193" s="11">
        <v>2</v>
      </c>
      <c r="H193" s="11"/>
      <c r="I193" s="6" t="str">
        <f t="shared" si="2"/>
        <v>yokkkk</v>
      </c>
      <c r="J193" s="21"/>
      <c r="K193" s="22"/>
      <c r="L193" s="21"/>
      <c r="M193" s="21"/>
    </row>
    <row r="194" spans="1:13" ht="17.25" customHeight="1">
      <c r="A194" s="19">
        <v>248</v>
      </c>
      <c r="B194" s="5" t="s">
        <v>153</v>
      </c>
      <c r="C194" s="5" t="s">
        <v>350</v>
      </c>
      <c r="D194" s="5" t="s">
        <v>89</v>
      </c>
      <c r="E194" s="11">
        <v>85</v>
      </c>
      <c r="F194" s="12" t="s">
        <v>580</v>
      </c>
      <c r="G194" s="11">
        <v>3</v>
      </c>
      <c r="H194" s="11"/>
      <c r="I194" s="6" t="str">
        <f t="shared" si="2"/>
        <v>yokkkk</v>
      </c>
      <c r="J194" s="21"/>
      <c r="K194" s="22"/>
      <c r="L194" s="21"/>
      <c r="M194" s="21"/>
    </row>
    <row r="195" spans="1:13" ht="17.25" customHeight="1">
      <c r="A195" s="19">
        <v>248</v>
      </c>
      <c r="B195" s="5" t="s">
        <v>153</v>
      </c>
      <c r="C195" s="5" t="s">
        <v>350</v>
      </c>
      <c r="D195" s="5" t="s">
        <v>89</v>
      </c>
      <c r="E195" s="11">
        <v>93</v>
      </c>
      <c r="F195" s="12" t="s">
        <v>942</v>
      </c>
      <c r="G195" s="11">
        <v>4</v>
      </c>
      <c r="H195" s="11"/>
      <c r="I195" s="6" t="str">
        <f t="shared" ref="I195:I258" si="3">IF(COUNTIF(J:J,A195)," var","yokkkk")</f>
        <v>yokkkk</v>
      </c>
      <c r="J195" s="21"/>
      <c r="K195" s="22"/>
      <c r="L195" s="21"/>
      <c r="M195" s="21"/>
    </row>
    <row r="196" spans="1:13" ht="17.25" customHeight="1">
      <c r="A196" s="19">
        <v>169</v>
      </c>
      <c r="B196" s="5" t="s">
        <v>111</v>
      </c>
      <c r="C196" s="5" t="s">
        <v>809</v>
      </c>
      <c r="D196" s="5" t="s">
        <v>1111</v>
      </c>
      <c r="E196" s="11">
        <v>55</v>
      </c>
      <c r="F196" s="12" t="s">
        <v>238</v>
      </c>
      <c r="G196" s="11">
        <v>1</v>
      </c>
      <c r="H196" s="11"/>
      <c r="I196" s="6" t="str">
        <f t="shared" si="3"/>
        <v>yokkkk</v>
      </c>
      <c r="J196" s="21"/>
      <c r="K196" s="22"/>
      <c r="L196" s="21"/>
      <c r="M196" s="21"/>
    </row>
    <row r="197" spans="1:13" ht="17.25" customHeight="1">
      <c r="A197" s="19">
        <v>208</v>
      </c>
      <c r="B197" s="5" t="s">
        <v>136</v>
      </c>
      <c r="C197" s="5" t="s">
        <v>838</v>
      </c>
      <c r="D197" s="5" t="s">
        <v>839</v>
      </c>
      <c r="E197" s="11">
        <v>10</v>
      </c>
      <c r="F197" s="12" t="s">
        <v>538</v>
      </c>
      <c r="G197" s="11">
        <v>5</v>
      </c>
      <c r="H197" s="11"/>
      <c r="I197" s="6" t="str">
        <f t="shared" si="3"/>
        <v>yokkkk</v>
      </c>
      <c r="J197" s="21"/>
      <c r="K197" s="22"/>
      <c r="L197" s="21"/>
      <c r="M197" s="21"/>
    </row>
    <row r="198" spans="1:13" ht="17.25" customHeight="1">
      <c r="A198" s="19">
        <v>208</v>
      </c>
      <c r="B198" s="5" t="s">
        <v>136</v>
      </c>
      <c r="C198" s="5" t="s">
        <v>838</v>
      </c>
      <c r="D198" s="5" t="s">
        <v>839</v>
      </c>
      <c r="E198" s="11">
        <v>11</v>
      </c>
      <c r="F198" s="12" t="s">
        <v>539</v>
      </c>
      <c r="G198" s="11">
        <v>1</v>
      </c>
      <c r="H198" s="11"/>
      <c r="I198" s="6" t="str">
        <f t="shared" si="3"/>
        <v>yokkkk</v>
      </c>
      <c r="J198" s="21"/>
      <c r="K198" s="22"/>
      <c r="L198" s="21"/>
      <c r="M198" s="21"/>
    </row>
    <row r="199" spans="1:13" ht="17.25" customHeight="1">
      <c r="A199" s="19">
        <v>208</v>
      </c>
      <c r="B199" s="5" t="s">
        <v>136</v>
      </c>
      <c r="C199" s="5" t="s">
        <v>838</v>
      </c>
      <c r="D199" s="5" t="s">
        <v>839</v>
      </c>
      <c r="E199" s="11">
        <v>52</v>
      </c>
      <c r="F199" s="12" t="s">
        <v>561</v>
      </c>
      <c r="G199" s="11">
        <v>2</v>
      </c>
      <c r="H199" s="11"/>
      <c r="I199" s="6" t="str">
        <f t="shared" si="3"/>
        <v>yokkkk</v>
      </c>
      <c r="J199" s="21"/>
      <c r="K199" s="22"/>
      <c r="L199" s="21"/>
      <c r="M199" s="21"/>
    </row>
    <row r="200" spans="1:13" ht="17.25" customHeight="1">
      <c r="A200" s="19">
        <v>208</v>
      </c>
      <c r="B200" s="5" t="s">
        <v>136</v>
      </c>
      <c r="C200" s="5" t="s">
        <v>838</v>
      </c>
      <c r="D200" s="5" t="s">
        <v>839</v>
      </c>
      <c r="E200" s="11">
        <v>55</v>
      </c>
      <c r="F200" s="12" t="s">
        <v>238</v>
      </c>
      <c r="G200" s="11">
        <v>4</v>
      </c>
      <c r="H200" s="11"/>
      <c r="I200" s="6" t="str">
        <f t="shared" si="3"/>
        <v>yokkkk</v>
      </c>
      <c r="J200" s="21"/>
      <c r="K200" s="22"/>
      <c r="L200" s="21"/>
      <c r="M200" s="21"/>
    </row>
    <row r="201" spans="1:13" ht="17.25" customHeight="1">
      <c r="A201" s="19">
        <v>208</v>
      </c>
      <c r="B201" s="5" t="s">
        <v>136</v>
      </c>
      <c r="C201" s="5" t="s">
        <v>838</v>
      </c>
      <c r="D201" s="5" t="s">
        <v>839</v>
      </c>
      <c r="E201" s="11">
        <v>96</v>
      </c>
      <c r="F201" s="12" t="s">
        <v>938</v>
      </c>
      <c r="G201" s="11">
        <v>3</v>
      </c>
      <c r="H201" s="11"/>
      <c r="I201" s="6" t="str">
        <f t="shared" si="3"/>
        <v>yokkkk</v>
      </c>
      <c r="J201" s="21"/>
      <c r="K201" s="22"/>
      <c r="L201" s="21"/>
      <c r="M201" s="21"/>
    </row>
    <row r="202" spans="1:13" ht="17.25" customHeight="1">
      <c r="A202" s="19">
        <v>96</v>
      </c>
      <c r="B202" s="5" t="s">
        <v>87</v>
      </c>
      <c r="C202" s="5" t="s">
        <v>24</v>
      </c>
      <c r="D202" s="5" t="s">
        <v>90</v>
      </c>
      <c r="E202" s="11">
        <v>15</v>
      </c>
      <c r="F202" s="12" t="s">
        <v>543</v>
      </c>
      <c r="G202" s="11">
        <v>4</v>
      </c>
      <c r="H202" s="11"/>
      <c r="I202" s="6" t="str">
        <f t="shared" si="3"/>
        <v xml:space="preserve"> var</v>
      </c>
      <c r="J202" s="21"/>
      <c r="K202" s="22"/>
      <c r="L202" s="21"/>
      <c r="M202" s="21"/>
    </row>
    <row r="203" spans="1:13" ht="17.25" customHeight="1">
      <c r="A203" s="19">
        <v>96</v>
      </c>
      <c r="B203" s="5" t="s">
        <v>87</v>
      </c>
      <c r="C203" s="5" t="s">
        <v>24</v>
      </c>
      <c r="D203" s="5" t="s">
        <v>90</v>
      </c>
      <c r="E203" s="11">
        <v>39</v>
      </c>
      <c r="F203" s="12" t="s">
        <v>545</v>
      </c>
      <c r="G203" s="11">
        <v>3</v>
      </c>
      <c r="H203" s="11"/>
      <c r="I203" s="6" t="str">
        <f t="shared" si="3"/>
        <v xml:space="preserve"> var</v>
      </c>
      <c r="J203" s="21"/>
      <c r="K203" s="22"/>
      <c r="L203" s="21"/>
      <c r="M203" s="21"/>
    </row>
    <row r="204" spans="1:13" ht="17.25" customHeight="1">
      <c r="A204" s="19">
        <v>96</v>
      </c>
      <c r="B204" s="5" t="s">
        <v>87</v>
      </c>
      <c r="C204" s="5" t="s">
        <v>24</v>
      </c>
      <c r="D204" s="5" t="s">
        <v>90</v>
      </c>
      <c r="E204" s="11">
        <v>72</v>
      </c>
      <c r="F204" s="12" t="s">
        <v>582</v>
      </c>
      <c r="G204" s="11">
        <v>2</v>
      </c>
      <c r="H204" s="11"/>
      <c r="I204" s="6" t="str">
        <f t="shared" si="3"/>
        <v xml:space="preserve"> var</v>
      </c>
      <c r="J204" s="21"/>
      <c r="K204" s="22"/>
      <c r="L204" s="21"/>
      <c r="M204" s="21"/>
    </row>
    <row r="205" spans="1:13" ht="17.25" customHeight="1">
      <c r="A205" s="19">
        <v>96</v>
      </c>
      <c r="B205" s="5" t="s">
        <v>87</v>
      </c>
      <c r="C205" s="5" t="s">
        <v>24</v>
      </c>
      <c r="D205" s="5" t="s">
        <v>90</v>
      </c>
      <c r="E205" s="11">
        <v>95</v>
      </c>
      <c r="F205" s="12" t="s">
        <v>940</v>
      </c>
      <c r="G205" s="11">
        <v>5</v>
      </c>
      <c r="H205" s="11"/>
      <c r="I205" s="6" t="str">
        <f t="shared" si="3"/>
        <v xml:space="preserve"> var</v>
      </c>
      <c r="J205" s="21"/>
      <c r="K205" s="22"/>
      <c r="L205" s="21"/>
      <c r="M205" s="21"/>
    </row>
    <row r="206" spans="1:13" ht="17.25" customHeight="1">
      <c r="A206" s="19">
        <v>96</v>
      </c>
      <c r="B206" s="5" t="s">
        <v>87</v>
      </c>
      <c r="C206" s="5" t="s">
        <v>24</v>
      </c>
      <c r="D206" s="5" t="s">
        <v>90</v>
      </c>
      <c r="E206" s="11">
        <v>96</v>
      </c>
      <c r="F206" s="12" t="s">
        <v>938</v>
      </c>
      <c r="G206" s="11">
        <v>1</v>
      </c>
      <c r="H206" s="11"/>
      <c r="I206" s="6" t="str">
        <f t="shared" si="3"/>
        <v xml:space="preserve"> var</v>
      </c>
      <c r="J206" s="21"/>
      <c r="K206" s="22"/>
      <c r="L206" s="21"/>
      <c r="M206" s="21"/>
    </row>
    <row r="207" spans="1:13" ht="17.25" customHeight="1">
      <c r="A207" s="19">
        <v>284</v>
      </c>
      <c r="B207" s="5" t="s">
        <v>168</v>
      </c>
      <c r="C207" s="5" t="s">
        <v>921</v>
      </c>
      <c r="D207" s="5" t="s">
        <v>922</v>
      </c>
      <c r="E207" s="11">
        <v>9</v>
      </c>
      <c r="F207" s="12" t="s">
        <v>537</v>
      </c>
      <c r="G207" s="11">
        <v>2</v>
      </c>
      <c r="H207" s="11"/>
      <c r="I207" s="6" t="str">
        <f t="shared" si="3"/>
        <v>yokkkk</v>
      </c>
      <c r="J207" s="21"/>
      <c r="K207" s="22"/>
      <c r="L207" s="21"/>
      <c r="M207" s="21"/>
    </row>
    <row r="208" spans="1:13" ht="17.25" customHeight="1">
      <c r="A208" s="19">
        <v>284</v>
      </c>
      <c r="B208" s="5" t="s">
        <v>168</v>
      </c>
      <c r="C208" s="5" t="s">
        <v>921</v>
      </c>
      <c r="D208" s="5" t="s">
        <v>922</v>
      </c>
      <c r="E208" s="11">
        <v>27</v>
      </c>
      <c r="F208" s="12" t="s">
        <v>569</v>
      </c>
      <c r="G208" s="11">
        <v>1</v>
      </c>
      <c r="H208" s="11"/>
      <c r="I208" s="6" t="str">
        <f t="shared" si="3"/>
        <v>yokkkk</v>
      </c>
      <c r="J208" s="21"/>
      <c r="K208" s="22"/>
      <c r="L208" s="21"/>
      <c r="M208" s="21"/>
    </row>
    <row r="209" spans="1:13" ht="17.25" customHeight="1">
      <c r="A209" s="19">
        <v>229</v>
      </c>
      <c r="B209" s="5" t="s">
        <v>146</v>
      </c>
      <c r="C209" s="5" t="s">
        <v>266</v>
      </c>
      <c r="D209" s="5" t="s">
        <v>341</v>
      </c>
      <c r="E209" s="11">
        <v>32</v>
      </c>
      <c r="F209" s="12" t="s">
        <v>549</v>
      </c>
      <c r="G209" s="11">
        <v>2</v>
      </c>
      <c r="H209" s="11"/>
      <c r="I209" s="6" t="str">
        <f t="shared" si="3"/>
        <v>yokkkk</v>
      </c>
      <c r="J209" s="21"/>
      <c r="K209" s="22"/>
      <c r="L209" s="21"/>
      <c r="M209" s="21"/>
    </row>
    <row r="210" spans="1:13" ht="17.25" customHeight="1">
      <c r="A210" s="19">
        <v>229</v>
      </c>
      <c r="B210" s="5" t="s">
        <v>146</v>
      </c>
      <c r="C210" s="5" t="s">
        <v>266</v>
      </c>
      <c r="D210" s="5" t="s">
        <v>341</v>
      </c>
      <c r="E210" s="11">
        <v>61</v>
      </c>
      <c r="F210" s="12" t="s">
        <v>576</v>
      </c>
      <c r="G210" s="11">
        <v>1</v>
      </c>
      <c r="H210" s="11"/>
      <c r="I210" s="6" t="str">
        <f t="shared" si="3"/>
        <v>yokkkk</v>
      </c>
      <c r="J210" s="21"/>
      <c r="K210" s="22"/>
      <c r="L210" s="21"/>
      <c r="M210" s="21"/>
    </row>
    <row r="211" spans="1:13" ht="17.25" customHeight="1">
      <c r="A211" s="19">
        <v>229</v>
      </c>
      <c r="B211" s="5" t="s">
        <v>146</v>
      </c>
      <c r="C211" s="5" t="s">
        <v>266</v>
      </c>
      <c r="D211" s="5" t="s">
        <v>341</v>
      </c>
      <c r="E211" s="11">
        <v>88</v>
      </c>
      <c r="F211" s="12" t="s">
        <v>953</v>
      </c>
      <c r="G211" s="11">
        <v>3</v>
      </c>
      <c r="H211" s="11"/>
      <c r="I211" s="6" t="str">
        <f t="shared" si="3"/>
        <v>yokkkk</v>
      </c>
      <c r="J211" s="21"/>
      <c r="K211" s="22"/>
      <c r="L211" s="21"/>
      <c r="M211" s="21"/>
    </row>
    <row r="212" spans="1:13" ht="17.25" customHeight="1">
      <c r="A212" s="19">
        <v>230</v>
      </c>
      <c r="B212" s="5" t="s">
        <v>146</v>
      </c>
      <c r="C212" s="5" t="s">
        <v>342</v>
      </c>
      <c r="D212" s="5" t="s">
        <v>343</v>
      </c>
      <c r="E212" s="11">
        <v>90</v>
      </c>
      <c r="F212" s="12" t="s">
        <v>937</v>
      </c>
      <c r="G212" s="11">
        <v>1</v>
      </c>
      <c r="H212" s="11"/>
      <c r="I212" s="6" t="str">
        <f t="shared" si="3"/>
        <v>yokkkk</v>
      </c>
      <c r="J212" s="21"/>
      <c r="K212" s="22"/>
      <c r="L212" s="21"/>
      <c r="M212" s="21"/>
    </row>
    <row r="213" spans="1:13" ht="17.25" customHeight="1">
      <c r="A213" s="19">
        <v>235</v>
      </c>
      <c r="B213" s="5" t="s">
        <v>149</v>
      </c>
      <c r="C213" s="5" t="s">
        <v>866</v>
      </c>
      <c r="D213" s="5" t="s">
        <v>867</v>
      </c>
      <c r="E213" s="11">
        <v>17</v>
      </c>
      <c r="F213" s="12" t="s">
        <v>955</v>
      </c>
      <c r="G213" s="11">
        <v>2</v>
      </c>
      <c r="H213" s="11"/>
      <c r="I213" s="6" t="str">
        <f t="shared" si="3"/>
        <v>yokkkk</v>
      </c>
      <c r="J213" s="21"/>
      <c r="K213" s="22"/>
      <c r="L213" s="21"/>
      <c r="M213" s="21"/>
    </row>
    <row r="214" spans="1:13" ht="17.25" customHeight="1">
      <c r="A214" s="19">
        <v>235</v>
      </c>
      <c r="B214" s="5" t="s">
        <v>149</v>
      </c>
      <c r="C214" s="5" t="s">
        <v>866</v>
      </c>
      <c r="D214" s="5" t="s">
        <v>867</v>
      </c>
      <c r="E214" s="11">
        <v>18</v>
      </c>
      <c r="F214" s="12" t="s">
        <v>9</v>
      </c>
      <c r="G214" s="11">
        <v>3</v>
      </c>
      <c r="H214" s="11"/>
      <c r="I214" s="6" t="str">
        <f t="shared" si="3"/>
        <v>yokkkk</v>
      </c>
      <c r="J214" s="21"/>
      <c r="K214" s="22"/>
      <c r="L214" s="21"/>
      <c r="M214" s="21"/>
    </row>
    <row r="215" spans="1:13" ht="17.25" customHeight="1">
      <c r="A215" s="19">
        <v>235</v>
      </c>
      <c r="B215" s="5" t="s">
        <v>149</v>
      </c>
      <c r="C215" s="5" t="s">
        <v>866</v>
      </c>
      <c r="D215" s="5" t="s">
        <v>867</v>
      </c>
      <c r="E215" s="11">
        <v>26</v>
      </c>
      <c r="F215" s="12" t="s">
        <v>947</v>
      </c>
      <c r="G215" s="11">
        <v>4</v>
      </c>
      <c r="H215" s="11"/>
      <c r="I215" s="6" t="str">
        <f t="shared" si="3"/>
        <v>yokkkk</v>
      </c>
      <c r="J215" s="21"/>
      <c r="K215" s="22"/>
      <c r="L215" s="21"/>
      <c r="M215" s="21"/>
    </row>
    <row r="216" spans="1:13" ht="17.25" customHeight="1">
      <c r="A216" s="19">
        <v>235</v>
      </c>
      <c r="B216" s="5" t="s">
        <v>149</v>
      </c>
      <c r="C216" s="5" t="s">
        <v>866</v>
      </c>
      <c r="D216" s="5" t="s">
        <v>867</v>
      </c>
      <c r="E216" s="11">
        <v>33</v>
      </c>
      <c r="F216" s="12" t="s">
        <v>5</v>
      </c>
      <c r="G216" s="11">
        <v>1</v>
      </c>
      <c r="H216" s="11"/>
      <c r="I216" s="6" t="str">
        <f t="shared" si="3"/>
        <v>yokkkk</v>
      </c>
      <c r="J216" s="21"/>
      <c r="K216" s="22"/>
      <c r="L216" s="21"/>
      <c r="M216" s="21"/>
    </row>
    <row r="217" spans="1:13" ht="17.25" customHeight="1">
      <c r="A217" s="19">
        <v>235</v>
      </c>
      <c r="B217" s="5" t="s">
        <v>149</v>
      </c>
      <c r="C217" s="5" t="s">
        <v>866</v>
      </c>
      <c r="D217" s="5" t="s">
        <v>867</v>
      </c>
      <c r="E217" s="11">
        <v>97</v>
      </c>
      <c r="F217" s="12" t="s">
        <v>939</v>
      </c>
      <c r="G217" s="11">
        <v>5</v>
      </c>
      <c r="H217" s="11"/>
      <c r="I217" s="6" t="str">
        <f t="shared" si="3"/>
        <v>yokkkk</v>
      </c>
      <c r="J217" s="21"/>
      <c r="K217" s="22"/>
      <c r="L217" s="21"/>
      <c r="M217" s="21"/>
    </row>
    <row r="218" spans="1:13" ht="17.25" customHeight="1">
      <c r="A218" s="19">
        <v>49</v>
      </c>
      <c r="B218" s="5" t="s">
        <v>50</v>
      </c>
      <c r="C218" s="5" t="s">
        <v>184</v>
      </c>
      <c r="D218" s="5" t="s">
        <v>672</v>
      </c>
      <c r="E218" s="11">
        <v>4</v>
      </c>
      <c r="F218" s="12" t="s">
        <v>3</v>
      </c>
      <c r="G218" s="11">
        <v>5</v>
      </c>
      <c r="H218" s="11"/>
      <c r="I218" s="6" t="str">
        <f t="shared" si="3"/>
        <v>yokkkk</v>
      </c>
      <c r="J218" s="21"/>
      <c r="K218" s="22"/>
      <c r="L218" s="21"/>
      <c r="M218" s="21"/>
    </row>
    <row r="219" spans="1:13" ht="17.25" customHeight="1">
      <c r="A219" s="19">
        <v>49</v>
      </c>
      <c r="B219" s="5" t="s">
        <v>50</v>
      </c>
      <c r="C219" s="5" t="s">
        <v>184</v>
      </c>
      <c r="D219" s="5" t="s">
        <v>672</v>
      </c>
      <c r="E219" s="11">
        <v>26</v>
      </c>
      <c r="F219" s="12" t="s">
        <v>947</v>
      </c>
      <c r="G219" s="11">
        <v>1</v>
      </c>
      <c r="H219" s="11"/>
      <c r="I219" s="6" t="str">
        <f t="shared" si="3"/>
        <v>yokkkk</v>
      </c>
      <c r="J219" s="21"/>
      <c r="K219" s="22"/>
      <c r="L219" s="21"/>
      <c r="M219" s="21"/>
    </row>
    <row r="220" spans="1:13" ht="17.25" customHeight="1">
      <c r="A220" s="19">
        <v>49</v>
      </c>
      <c r="B220" s="5" t="s">
        <v>50</v>
      </c>
      <c r="C220" s="5" t="s">
        <v>184</v>
      </c>
      <c r="D220" s="5" t="s">
        <v>672</v>
      </c>
      <c r="E220" s="11">
        <v>43</v>
      </c>
      <c r="F220" s="12" t="s">
        <v>10</v>
      </c>
      <c r="G220" s="11">
        <v>2</v>
      </c>
      <c r="H220" s="11"/>
      <c r="I220" s="6" t="str">
        <f t="shared" si="3"/>
        <v>yokkkk</v>
      </c>
      <c r="J220" s="21"/>
      <c r="K220" s="22"/>
      <c r="L220" s="21"/>
      <c r="M220" s="21"/>
    </row>
    <row r="221" spans="1:13" ht="17.25" customHeight="1">
      <c r="A221" s="19">
        <v>49</v>
      </c>
      <c r="B221" s="5" t="s">
        <v>50</v>
      </c>
      <c r="C221" s="5" t="s">
        <v>184</v>
      </c>
      <c r="D221" s="5" t="s">
        <v>672</v>
      </c>
      <c r="E221" s="11">
        <v>57</v>
      </c>
      <c r="F221" s="12" t="s">
        <v>552</v>
      </c>
      <c r="G221" s="11">
        <v>3</v>
      </c>
      <c r="H221" s="11"/>
      <c r="I221" s="6" t="str">
        <f t="shared" si="3"/>
        <v>yokkkk</v>
      </c>
      <c r="J221" s="21"/>
      <c r="K221" s="22"/>
      <c r="L221" s="21"/>
      <c r="M221" s="21"/>
    </row>
    <row r="222" spans="1:13" ht="17.25" customHeight="1">
      <c r="A222" s="19">
        <v>49</v>
      </c>
      <c r="B222" s="5" t="s">
        <v>50</v>
      </c>
      <c r="C222" s="5" t="s">
        <v>184</v>
      </c>
      <c r="D222" s="5" t="s">
        <v>672</v>
      </c>
      <c r="E222" s="11">
        <v>81</v>
      </c>
      <c r="F222" s="12" t="s">
        <v>546</v>
      </c>
      <c r="G222" s="11">
        <v>4</v>
      </c>
      <c r="H222" s="11"/>
      <c r="I222" s="6" t="str">
        <f t="shared" si="3"/>
        <v>yokkkk</v>
      </c>
      <c r="J222" s="21"/>
      <c r="K222" s="22"/>
      <c r="L222" s="21"/>
      <c r="M222" s="21"/>
    </row>
    <row r="223" spans="1:13" ht="17.25" customHeight="1">
      <c r="A223" s="19">
        <v>57</v>
      </c>
      <c r="B223" s="5" t="s">
        <v>59</v>
      </c>
      <c r="C223" s="5" t="s">
        <v>187</v>
      </c>
      <c r="D223" s="5" t="s">
        <v>188</v>
      </c>
      <c r="E223" s="11"/>
      <c r="F223" s="12"/>
      <c r="G223" s="11"/>
      <c r="H223" s="11"/>
      <c r="I223" s="6" t="str">
        <f t="shared" si="3"/>
        <v>yokkkk</v>
      </c>
      <c r="J223" s="21"/>
      <c r="K223" s="22"/>
      <c r="L223" s="21"/>
      <c r="M223" s="21"/>
    </row>
    <row r="224" spans="1:13" ht="17.25" customHeight="1">
      <c r="A224" s="19">
        <v>36</v>
      </c>
      <c r="B224" s="5" t="s">
        <v>37</v>
      </c>
      <c r="C224" s="5" t="s">
        <v>166</v>
      </c>
      <c r="D224" s="5" t="s">
        <v>255</v>
      </c>
      <c r="E224" s="11">
        <v>11</v>
      </c>
      <c r="F224" s="12" t="s">
        <v>539</v>
      </c>
      <c r="G224" s="11">
        <v>3</v>
      </c>
      <c r="H224" s="11"/>
      <c r="I224" s="6" t="str">
        <f t="shared" si="3"/>
        <v>yokkkk</v>
      </c>
      <c r="J224" s="21"/>
      <c r="K224" s="22"/>
      <c r="L224" s="21"/>
      <c r="M224" s="21"/>
    </row>
    <row r="225" spans="1:13" ht="17.25" customHeight="1">
      <c r="A225" s="19">
        <v>36</v>
      </c>
      <c r="B225" s="5" t="s">
        <v>37</v>
      </c>
      <c r="C225" s="5" t="s">
        <v>166</v>
      </c>
      <c r="D225" s="5" t="s">
        <v>255</v>
      </c>
      <c r="E225" s="11">
        <v>49</v>
      </c>
      <c r="F225" s="12" t="s">
        <v>6</v>
      </c>
      <c r="G225" s="11">
        <v>2</v>
      </c>
      <c r="H225" s="11"/>
      <c r="I225" s="6" t="str">
        <f t="shared" si="3"/>
        <v>yokkkk</v>
      </c>
      <c r="J225" s="21"/>
      <c r="K225" s="22"/>
      <c r="L225" s="21"/>
      <c r="M225" s="21"/>
    </row>
    <row r="226" spans="1:13" ht="17.25" customHeight="1">
      <c r="A226" s="19">
        <v>36</v>
      </c>
      <c r="B226" s="5" t="s">
        <v>37</v>
      </c>
      <c r="C226" s="5" t="s">
        <v>166</v>
      </c>
      <c r="D226" s="5" t="s">
        <v>255</v>
      </c>
      <c r="E226" s="11">
        <v>51</v>
      </c>
      <c r="F226" s="12" t="s">
        <v>560</v>
      </c>
      <c r="G226" s="11">
        <v>5</v>
      </c>
      <c r="H226" s="11"/>
      <c r="I226" s="6" t="str">
        <f t="shared" si="3"/>
        <v>yokkkk</v>
      </c>
      <c r="J226" s="21"/>
      <c r="K226" s="22"/>
      <c r="L226" s="21"/>
      <c r="M226" s="21"/>
    </row>
    <row r="227" spans="1:13" ht="17.25" customHeight="1">
      <c r="A227" s="19">
        <v>36</v>
      </c>
      <c r="B227" s="5" t="s">
        <v>37</v>
      </c>
      <c r="C227" s="5" t="s">
        <v>166</v>
      </c>
      <c r="D227" s="5" t="s">
        <v>255</v>
      </c>
      <c r="E227" s="11">
        <v>52</v>
      </c>
      <c r="F227" s="12" t="s">
        <v>561</v>
      </c>
      <c r="G227" s="11">
        <v>4</v>
      </c>
      <c r="H227" s="11"/>
      <c r="I227" s="6" t="str">
        <f t="shared" si="3"/>
        <v>yokkkk</v>
      </c>
      <c r="J227" s="21"/>
      <c r="K227" s="22"/>
      <c r="L227" s="21"/>
      <c r="M227" s="21"/>
    </row>
    <row r="228" spans="1:13" ht="17.25" customHeight="1">
      <c r="A228" s="19">
        <v>36</v>
      </c>
      <c r="B228" s="5" t="s">
        <v>37</v>
      </c>
      <c r="C228" s="5" t="s">
        <v>166</v>
      </c>
      <c r="D228" s="5" t="s">
        <v>255</v>
      </c>
      <c r="E228" s="11">
        <v>53</v>
      </c>
      <c r="F228" s="12" t="s">
        <v>562</v>
      </c>
      <c r="G228" s="11">
        <v>1</v>
      </c>
      <c r="H228" s="11"/>
      <c r="I228" s="6" t="str">
        <f t="shared" si="3"/>
        <v>yokkkk</v>
      </c>
      <c r="J228" s="21"/>
      <c r="K228" s="22"/>
      <c r="L228" s="21"/>
      <c r="M228" s="21"/>
    </row>
    <row r="229" spans="1:13" ht="17.25" customHeight="1">
      <c r="A229" s="19">
        <v>38</v>
      </c>
      <c r="B229" s="5" t="s">
        <v>42</v>
      </c>
      <c r="C229" s="5" t="s">
        <v>367</v>
      </c>
      <c r="D229" s="5" t="s">
        <v>651</v>
      </c>
      <c r="E229" s="11">
        <v>10</v>
      </c>
      <c r="F229" s="12" t="s">
        <v>538</v>
      </c>
      <c r="G229" s="11">
        <v>2</v>
      </c>
      <c r="H229" s="11"/>
      <c r="I229" s="6" t="str">
        <f t="shared" si="3"/>
        <v>yokkkk</v>
      </c>
      <c r="J229" s="21"/>
      <c r="K229" s="22"/>
      <c r="L229" s="21"/>
      <c r="M229" s="21"/>
    </row>
    <row r="230" spans="1:13" ht="17.25" customHeight="1">
      <c r="A230" s="19">
        <v>38</v>
      </c>
      <c r="B230" s="5" t="s">
        <v>42</v>
      </c>
      <c r="C230" s="5" t="s">
        <v>367</v>
      </c>
      <c r="D230" s="5" t="s">
        <v>651</v>
      </c>
      <c r="E230" s="11">
        <v>28</v>
      </c>
      <c r="F230" s="12" t="s">
        <v>570</v>
      </c>
      <c r="G230" s="11">
        <v>1</v>
      </c>
      <c r="H230" s="11"/>
      <c r="I230" s="6" t="str">
        <f t="shared" si="3"/>
        <v>yokkkk</v>
      </c>
      <c r="J230" s="21"/>
      <c r="K230" s="22"/>
      <c r="L230" s="21"/>
      <c r="M230" s="21"/>
    </row>
    <row r="231" spans="1:13" ht="17.25" customHeight="1">
      <c r="A231" s="19">
        <v>38</v>
      </c>
      <c r="B231" s="5" t="s">
        <v>42</v>
      </c>
      <c r="C231" s="5" t="s">
        <v>367</v>
      </c>
      <c r="D231" s="5" t="s">
        <v>651</v>
      </c>
      <c r="E231" s="11">
        <v>44</v>
      </c>
      <c r="F231" s="12" t="s">
        <v>567</v>
      </c>
      <c r="G231" s="11">
        <v>3</v>
      </c>
      <c r="H231" s="11"/>
      <c r="I231" s="6" t="str">
        <f t="shared" si="3"/>
        <v>yokkkk</v>
      </c>
      <c r="J231" s="21"/>
      <c r="K231" s="22"/>
      <c r="L231" s="21"/>
      <c r="M231" s="21"/>
    </row>
    <row r="232" spans="1:13" ht="17.25" customHeight="1">
      <c r="A232" s="19">
        <v>38</v>
      </c>
      <c r="B232" s="5" t="s">
        <v>42</v>
      </c>
      <c r="C232" s="5" t="s">
        <v>367</v>
      </c>
      <c r="D232" s="5" t="s">
        <v>651</v>
      </c>
      <c r="E232" s="11">
        <v>46</v>
      </c>
      <c r="F232" s="12" t="s">
        <v>568</v>
      </c>
      <c r="G232" s="11">
        <v>4</v>
      </c>
      <c r="H232" s="11"/>
      <c r="I232" s="6" t="str">
        <f t="shared" si="3"/>
        <v>yokkkk</v>
      </c>
      <c r="J232" s="21"/>
      <c r="K232" s="22"/>
      <c r="L232" s="21"/>
      <c r="M232" s="21"/>
    </row>
    <row r="233" spans="1:13" ht="17.25" customHeight="1">
      <c r="A233" s="19">
        <v>38</v>
      </c>
      <c r="B233" s="5" t="s">
        <v>42</v>
      </c>
      <c r="C233" s="5" t="s">
        <v>367</v>
      </c>
      <c r="D233" s="5" t="s">
        <v>651</v>
      </c>
      <c r="E233" s="11">
        <v>60</v>
      </c>
      <c r="F233" s="12" t="s">
        <v>555</v>
      </c>
      <c r="G233" s="11">
        <v>5</v>
      </c>
      <c r="H233" s="11"/>
      <c r="I233" s="6" t="str">
        <f t="shared" si="3"/>
        <v>yokkkk</v>
      </c>
      <c r="J233" s="21"/>
      <c r="K233" s="22"/>
      <c r="L233" s="21"/>
      <c r="M233" s="21"/>
    </row>
    <row r="234" spans="1:13" ht="17.25" customHeight="1">
      <c r="A234" s="19">
        <v>13</v>
      </c>
      <c r="B234" s="5" t="s">
        <v>23</v>
      </c>
      <c r="C234" s="5" t="s">
        <v>629</v>
      </c>
      <c r="D234" s="5" t="s">
        <v>175</v>
      </c>
      <c r="E234" s="11">
        <v>33</v>
      </c>
      <c r="F234" s="12" t="s">
        <v>5</v>
      </c>
      <c r="G234" s="11">
        <v>1</v>
      </c>
      <c r="H234" s="11"/>
      <c r="I234" s="6" t="str">
        <f t="shared" si="3"/>
        <v xml:space="preserve"> var</v>
      </c>
      <c r="J234" s="21"/>
      <c r="K234" s="22"/>
      <c r="L234" s="21"/>
      <c r="M234" s="21"/>
    </row>
    <row r="235" spans="1:13" ht="17.25" customHeight="1">
      <c r="A235" s="19">
        <v>13</v>
      </c>
      <c r="B235" s="5" t="s">
        <v>23</v>
      </c>
      <c r="C235" s="5" t="s">
        <v>629</v>
      </c>
      <c r="D235" s="5" t="s">
        <v>175</v>
      </c>
      <c r="E235" s="11">
        <v>34</v>
      </c>
      <c r="F235" s="12" t="s">
        <v>8</v>
      </c>
      <c r="G235" s="11">
        <v>2</v>
      </c>
      <c r="H235" s="11"/>
      <c r="I235" s="6" t="str">
        <f t="shared" si="3"/>
        <v xml:space="preserve"> var</v>
      </c>
      <c r="J235" s="21"/>
      <c r="K235" s="22"/>
      <c r="L235" s="21"/>
      <c r="M235" s="21"/>
    </row>
    <row r="236" spans="1:13" ht="17.25" customHeight="1">
      <c r="A236" s="19">
        <v>13</v>
      </c>
      <c r="B236" s="5" t="s">
        <v>23</v>
      </c>
      <c r="C236" s="5" t="s">
        <v>629</v>
      </c>
      <c r="D236" s="5" t="s">
        <v>175</v>
      </c>
      <c r="E236" s="11">
        <v>43</v>
      </c>
      <c r="F236" s="12" t="s">
        <v>10</v>
      </c>
      <c r="G236" s="11">
        <v>3</v>
      </c>
      <c r="H236" s="11"/>
      <c r="I236" s="6" t="str">
        <f t="shared" si="3"/>
        <v xml:space="preserve"> var</v>
      </c>
      <c r="J236" s="21"/>
      <c r="K236" s="22"/>
      <c r="L236" s="21"/>
      <c r="M236" s="21"/>
    </row>
    <row r="237" spans="1:13" ht="17.25" customHeight="1">
      <c r="A237" s="19">
        <v>13</v>
      </c>
      <c r="B237" s="5" t="s">
        <v>23</v>
      </c>
      <c r="C237" s="5" t="s">
        <v>629</v>
      </c>
      <c r="D237" s="5" t="s">
        <v>175</v>
      </c>
      <c r="E237" s="11">
        <v>67</v>
      </c>
      <c r="F237" s="12" t="s">
        <v>954</v>
      </c>
      <c r="G237" s="11">
        <v>5</v>
      </c>
      <c r="H237" s="11"/>
      <c r="I237" s="6" t="str">
        <f t="shared" si="3"/>
        <v xml:space="preserve"> var</v>
      </c>
      <c r="J237" s="21"/>
      <c r="K237" s="22"/>
      <c r="L237" s="21"/>
      <c r="M237" s="21"/>
    </row>
    <row r="238" spans="1:13" ht="17.25" customHeight="1">
      <c r="A238" s="19">
        <v>13</v>
      </c>
      <c r="B238" s="5" t="s">
        <v>23</v>
      </c>
      <c r="C238" s="5" t="s">
        <v>629</v>
      </c>
      <c r="D238" s="5" t="s">
        <v>175</v>
      </c>
      <c r="E238" s="11">
        <v>89</v>
      </c>
      <c r="F238" s="12" t="s">
        <v>2</v>
      </c>
      <c r="G238" s="11">
        <v>4</v>
      </c>
      <c r="H238" s="11"/>
      <c r="I238" s="6" t="str">
        <f t="shared" si="3"/>
        <v xml:space="preserve"> var</v>
      </c>
      <c r="J238" s="21"/>
      <c r="K238" s="22"/>
      <c r="L238" s="21"/>
      <c r="M238" s="21"/>
    </row>
    <row r="239" spans="1:13" ht="17.25" customHeight="1">
      <c r="A239" s="19">
        <v>5</v>
      </c>
      <c r="B239" s="5" t="s">
        <v>11</v>
      </c>
      <c r="C239" s="5" t="s">
        <v>619</v>
      </c>
      <c r="D239" s="5" t="s">
        <v>16</v>
      </c>
      <c r="E239" s="11">
        <v>4</v>
      </c>
      <c r="F239" s="12" t="s">
        <v>3</v>
      </c>
      <c r="G239" s="11">
        <v>2</v>
      </c>
      <c r="H239" s="11"/>
      <c r="I239" s="6" t="str">
        <f t="shared" si="3"/>
        <v>yokkkk</v>
      </c>
      <c r="J239" s="21"/>
      <c r="K239" s="22"/>
      <c r="L239" s="21"/>
      <c r="M239" s="21"/>
    </row>
    <row r="240" spans="1:13" ht="17.25" customHeight="1">
      <c r="A240" s="19">
        <v>5</v>
      </c>
      <c r="B240" s="5" t="s">
        <v>11</v>
      </c>
      <c r="C240" s="5" t="s">
        <v>619</v>
      </c>
      <c r="D240" s="5" t="s">
        <v>16</v>
      </c>
      <c r="E240" s="11">
        <v>9</v>
      </c>
      <c r="F240" s="12" t="s">
        <v>537</v>
      </c>
      <c r="G240" s="11">
        <v>3</v>
      </c>
      <c r="H240" s="11"/>
      <c r="I240" s="6" t="str">
        <f t="shared" si="3"/>
        <v>yokkkk</v>
      </c>
      <c r="J240" s="21"/>
      <c r="K240" s="22"/>
      <c r="L240" s="21"/>
      <c r="M240" s="21"/>
    </row>
    <row r="241" spans="1:13" ht="17.25" customHeight="1">
      <c r="A241" s="19">
        <v>5</v>
      </c>
      <c r="B241" s="5" t="s">
        <v>11</v>
      </c>
      <c r="C241" s="5" t="s">
        <v>619</v>
      </c>
      <c r="D241" s="5" t="s">
        <v>16</v>
      </c>
      <c r="E241" s="11">
        <v>84</v>
      </c>
      <c r="F241" s="12" t="s">
        <v>237</v>
      </c>
      <c r="G241" s="11">
        <v>1</v>
      </c>
      <c r="H241" s="11"/>
      <c r="I241" s="6" t="str">
        <f t="shared" si="3"/>
        <v>yokkkk</v>
      </c>
      <c r="J241" s="21"/>
      <c r="K241" s="22"/>
      <c r="L241" s="21"/>
      <c r="M241" s="21"/>
    </row>
    <row r="242" spans="1:13" ht="17.25" customHeight="1">
      <c r="A242" s="19">
        <v>156</v>
      </c>
      <c r="B242" s="5" t="s">
        <v>104</v>
      </c>
      <c r="C242" s="5" t="s">
        <v>800</v>
      </c>
      <c r="D242" s="5" t="s">
        <v>113</v>
      </c>
      <c r="E242" s="11">
        <v>43</v>
      </c>
      <c r="F242" s="12" t="s">
        <v>10</v>
      </c>
      <c r="G242" s="11">
        <v>3</v>
      </c>
      <c r="H242" s="11"/>
      <c r="I242" s="6" t="str">
        <f t="shared" si="3"/>
        <v>yokkkk</v>
      </c>
      <c r="J242" s="21"/>
      <c r="K242" s="22"/>
      <c r="L242" s="21"/>
      <c r="M242" s="21"/>
    </row>
    <row r="243" spans="1:13" ht="17.25" customHeight="1">
      <c r="A243" s="19">
        <v>156</v>
      </c>
      <c r="B243" s="5" t="s">
        <v>104</v>
      </c>
      <c r="C243" s="5" t="s">
        <v>800</v>
      </c>
      <c r="D243" s="5" t="s">
        <v>113</v>
      </c>
      <c r="E243" s="11">
        <v>46</v>
      </c>
      <c r="F243" s="12" t="s">
        <v>568</v>
      </c>
      <c r="G243" s="11">
        <v>1</v>
      </c>
      <c r="H243" s="11"/>
      <c r="I243" s="6" t="str">
        <f t="shared" si="3"/>
        <v>yokkkk</v>
      </c>
      <c r="J243" s="21"/>
      <c r="K243" s="22"/>
      <c r="L243" s="21"/>
      <c r="M243" s="21"/>
    </row>
    <row r="244" spans="1:13" ht="17.25" customHeight="1">
      <c r="A244" s="19">
        <v>156</v>
      </c>
      <c r="B244" s="5" t="s">
        <v>104</v>
      </c>
      <c r="C244" s="5" t="s">
        <v>800</v>
      </c>
      <c r="D244" s="5" t="s">
        <v>113</v>
      </c>
      <c r="E244" s="11">
        <v>47</v>
      </c>
      <c r="F244" s="12" t="s">
        <v>944</v>
      </c>
      <c r="G244" s="11">
        <v>2</v>
      </c>
      <c r="H244" s="11"/>
      <c r="I244" s="6" t="str">
        <f t="shared" si="3"/>
        <v>yokkkk</v>
      </c>
      <c r="J244" s="21"/>
      <c r="K244" s="22"/>
      <c r="L244" s="21"/>
      <c r="M244" s="21"/>
    </row>
    <row r="245" spans="1:13" ht="17.25" customHeight="1">
      <c r="A245" s="19">
        <v>192</v>
      </c>
      <c r="B245" s="5" t="s">
        <v>129</v>
      </c>
      <c r="C245" s="5" t="s">
        <v>316</v>
      </c>
      <c r="D245" s="5" t="s">
        <v>317</v>
      </c>
      <c r="E245" s="11">
        <v>26</v>
      </c>
      <c r="F245" s="12" t="s">
        <v>947</v>
      </c>
      <c r="G245" s="11">
        <v>4</v>
      </c>
      <c r="H245" s="11"/>
      <c r="I245" s="6" t="str">
        <f t="shared" si="3"/>
        <v>yokkkk</v>
      </c>
      <c r="J245" s="21"/>
      <c r="K245" s="22"/>
      <c r="L245" s="21"/>
      <c r="M245" s="21"/>
    </row>
    <row r="246" spans="1:13" ht="17.25" customHeight="1">
      <c r="A246" s="19">
        <v>192</v>
      </c>
      <c r="B246" s="5" t="s">
        <v>129</v>
      </c>
      <c r="C246" s="5" t="s">
        <v>316</v>
      </c>
      <c r="D246" s="5" t="s">
        <v>317</v>
      </c>
      <c r="E246" s="11">
        <v>28</v>
      </c>
      <c r="F246" s="12" t="s">
        <v>570</v>
      </c>
      <c r="G246" s="11">
        <v>1</v>
      </c>
      <c r="H246" s="11"/>
      <c r="I246" s="6" t="str">
        <f t="shared" si="3"/>
        <v>yokkkk</v>
      </c>
      <c r="J246" s="21"/>
      <c r="K246" s="22"/>
      <c r="L246" s="21"/>
      <c r="M246" s="21"/>
    </row>
    <row r="247" spans="1:13" ht="17.25" customHeight="1">
      <c r="A247" s="19">
        <v>192</v>
      </c>
      <c r="B247" s="5" t="s">
        <v>129</v>
      </c>
      <c r="C247" s="5" t="s">
        <v>316</v>
      </c>
      <c r="D247" s="5" t="s">
        <v>317</v>
      </c>
      <c r="E247" s="11">
        <v>43</v>
      </c>
      <c r="F247" s="12" t="s">
        <v>10</v>
      </c>
      <c r="G247" s="11">
        <v>5</v>
      </c>
      <c r="H247" s="11"/>
      <c r="I247" s="6" t="str">
        <f t="shared" si="3"/>
        <v>yokkkk</v>
      </c>
      <c r="J247" s="21"/>
      <c r="K247" s="22"/>
      <c r="L247" s="21"/>
      <c r="M247" s="21"/>
    </row>
    <row r="248" spans="1:13" ht="17.25" customHeight="1">
      <c r="A248" s="19">
        <v>192</v>
      </c>
      <c r="B248" s="5" t="s">
        <v>129</v>
      </c>
      <c r="C248" s="5" t="s">
        <v>316</v>
      </c>
      <c r="D248" s="5" t="s">
        <v>317</v>
      </c>
      <c r="E248" s="11">
        <v>56</v>
      </c>
      <c r="F248" s="12" t="s">
        <v>948</v>
      </c>
      <c r="G248" s="11">
        <v>3</v>
      </c>
      <c r="H248" s="11"/>
      <c r="I248" s="6" t="str">
        <f t="shared" si="3"/>
        <v>yokkkk</v>
      </c>
      <c r="J248" s="21"/>
      <c r="K248" s="22"/>
      <c r="L248" s="21"/>
      <c r="M248" s="21"/>
    </row>
    <row r="249" spans="1:13" ht="17.25" customHeight="1">
      <c r="A249" s="19">
        <v>192</v>
      </c>
      <c r="B249" s="5" t="s">
        <v>129</v>
      </c>
      <c r="C249" s="5" t="s">
        <v>316</v>
      </c>
      <c r="D249" s="5" t="s">
        <v>317</v>
      </c>
      <c r="E249" s="11">
        <v>84</v>
      </c>
      <c r="F249" s="12" t="s">
        <v>237</v>
      </c>
      <c r="G249" s="11">
        <v>2</v>
      </c>
      <c r="H249" s="11"/>
      <c r="I249" s="6" t="str">
        <f t="shared" si="3"/>
        <v>yokkkk</v>
      </c>
      <c r="J249" s="21"/>
      <c r="K249" s="22"/>
      <c r="L249" s="21"/>
      <c r="M249" s="21"/>
    </row>
    <row r="250" spans="1:13" ht="17.25" customHeight="1">
      <c r="A250" s="19">
        <v>225</v>
      </c>
      <c r="B250" s="5" t="s">
        <v>144</v>
      </c>
      <c r="C250" s="5" t="s">
        <v>853</v>
      </c>
      <c r="D250" s="5" t="s">
        <v>193</v>
      </c>
      <c r="E250" s="11">
        <v>22</v>
      </c>
      <c r="F250" s="12" t="s">
        <v>956</v>
      </c>
      <c r="G250" s="11">
        <v>4</v>
      </c>
      <c r="H250" s="11"/>
      <c r="I250" s="6" t="str">
        <f t="shared" si="3"/>
        <v>yokkkk</v>
      </c>
      <c r="J250" s="21"/>
      <c r="K250" s="22"/>
      <c r="L250" s="21"/>
      <c r="M250" s="21"/>
    </row>
    <row r="251" spans="1:13" ht="17.25" customHeight="1">
      <c r="A251" s="19">
        <v>225</v>
      </c>
      <c r="B251" s="5" t="s">
        <v>144</v>
      </c>
      <c r="C251" s="5" t="s">
        <v>853</v>
      </c>
      <c r="D251" s="5" t="s">
        <v>193</v>
      </c>
      <c r="E251" s="11">
        <v>28</v>
      </c>
      <c r="F251" s="12" t="s">
        <v>570</v>
      </c>
      <c r="G251" s="11">
        <v>1</v>
      </c>
      <c r="H251" s="11"/>
      <c r="I251" s="6" t="str">
        <f t="shared" si="3"/>
        <v>yokkkk</v>
      </c>
      <c r="J251" s="21"/>
      <c r="K251" s="22"/>
      <c r="L251" s="21"/>
      <c r="M251" s="21"/>
    </row>
    <row r="252" spans="1:13" ht="17.25" customHeight="1">
      <c r="A252" s="19">
        <v>225</v>
      </c>
      <c r="B252" s="5" t="s">
        <v>144</v>
      </c>
      <c r="C252" s="5" t="s">
        <v>853</v>
      </c>
      <c r="D252" s="5" t="s">
        <v>193</v>
      </c>
      <c r="E252" s="11">
        <v>53</v>
      </c>
      <c r="F252" s="12" t="s">
        <v>562</v>
      </c>
      <c r="G252" s="11">
        <v>5</v>
      </c>
      <c r="H252" s="11"/>
      <c r="I252" s="6" t="str">
        <f t="shared" si="3"/>
        <v>yokkkk</v>
      </c>
      <c r="J252" s="21"/>
      <c r="K252" s="22"/>
      <c r="L252" s="21"/>
      <c r="M252" s="21"/>
    </row>
    <row r="253" spans="1:13" ht="17.25" customHeight="1">
      <c r="A253" s="19">
        <v>225</v>
      </c>
      <c r="B253" s="5" t="s">
        <v>144</v>
      </c>
      <c r="C253" s="5" t="s">
        <v>853</v>
      </c>
      <c r="D253" s="5" t="s">
        <v>193</v>
      </c>
      <c r="E253" s="11">
        <v>57</v>
      </c>
      <c r="F253" s="12" t="s">
        <v>552</v>
      </c>
      <c r="G253" s="11">
        <v>2</v>
      </c>
      <c r="H253" s="11"/>
      <c r="I253" s="6" t="str">
        <f t="shared" si="3"/>
        <v>yokkkk</v>
      </c>
      <c r="J253" s="21"/>
      <c r="K253" s="22"/>
      <c r="L253" s="21"/>
      <c r="M253" s="21"/>
    </row>
    <row r="254" spans="1:13" ht="17.25" customHeight="1">
      <c r="A254" s="19">
        <v>225</v>
      </c>
      <c r="B254" s="5" t="s">
        <v>144</v>
      </c>
      <c r="C254" s="5" t="s">
        <v>853</v>
      </c>
      <c r="D254" s="5" t="s">
        <v>193</v>
      </c>
      <c r="E254" s="11">
        <v>61</v>
      </c>
      <c r="F254" s="12" t="s">
        <v>576</v>
      </c>
      <c r="G254" s="11">
        <v>3</v>
      </c>
      <c r="H254" s="11"/>
      <c r="I254" s="6" t="str">
        <f t="shared" si="3"/>
        <v>yokkkk</v>
      </c>
      <c r="J254" s="21"/>
      <c r="K254" s="22"/>
      <c r="L254" s="21"/>
      <c r="M254" s="21"/>
    </row>
    <row r="255" spans="1:13" ht="17.25" customHeight="1">
      <c r="A255" s="19">
        <v>177</v>
      </c>
      <c r="B255" s="5" t="s">
        <v>114</v>
      </c>
      <c r="C255" s="5" t="s">
        <v>819</v>
      </c>
      <c r="D255" s="5" t="s">
        <v>820</v>
      </c>
      <c r="E255" s="11">
        <v>92</v>
      </c>
      <c r="F255" s="12" t="s">
        <v>531</v>
      </c>
      <c r="G255" s="11">
        <v>1</v>
      </c>
      <c r="H255" s="11"/>
      <c r="I255" s="6" t="str">
        <f t="shared" si="3"/>
        <v>yokkkk</v>
      </c>
      <c r="J255" s="21"/>
      <c r="K255" s="22"/>
      <c r="L255" s="21"/>
      <c r="M255" s="21"/>
    </row>
    <row r="256" spans="1:13" ht="17.25" customHeight="1">
      <c r="A256" s="19">
        <v>78</v>
      </c>
      <c r="B256" s="5" t="s">
        <v>73</v>
      </c>
      <c r="C256" s="5" t="s">
        <v>712</v>
      </c>
      <c r="D256" s="5" t="s">
        <v>713</v>
      </c>
      <c r="E256" s="11">
        <v>26</v>
      </c>
      <c r="F256" s="12" t="s">
        <v>947</v>
      </c>
      <c r="G256" s="11">
        <v>4</v>
      </c>
      <c r="H256" s="11"/>
      <c r="I256" s="6" t="str">
        <f t="shared" si="3"/>
        <v xml:space="preserve"> var</v>
      </c>
      <c r="J256" s="21"/>
      <c r="K256" s="22"/>
      <c r="L256" s="21"/>
      <c r="M256" s="21"/>
    </row>
    <row r="257" spans="1:13" ht="17.25" customHeight="1">
      <c r="A257" s="19">
        <v>78</v>
      </c>
      <c r="B257" s="5" t="s">
        <v>73</v>
      </c>
      <c r="C257" s="5" t="s">
        <v>712</v>
      </c>
      <c r="D257" s="5" t="s">
        <v>713</v>
      </c>
      <c r="E257" s="11">
        <v>43</v>
      </c>
      <c r="F257" s="12" t="s">
        <v>10</v>
      </c>
      <c r="G257" s="11">
        <v>3</v>
      </c>
      <c r="H257" s="11"/>
      <c r="I257" s="6" t="str">
        <f t="shared" si="3"/>
        <v xml:space="preserve"> var</v>
      </c>
      <c r="J257" s="21"/>
      <c r="K257" s="22"/>
      <c r="L257" s="21"/>
      <c r="M257" s="21"/>
    </row>
    <row r="258" spans="1:13" ht="17.25" customHeight="1">
      <c r="A258" s="19">
        <v>78</v>
      </c>
      <c r="B258" s="5" t="s">
        <v>73</v>
      </c>
      <c r="C258" s="5" t="s">
        <v>712</v>
      </c>
      <c r="D258" s="5" t="s">
        <v>713</v>
      </c>
      <c r="E258" s="11">
        <v>56</v>
      </c>
      <c r="F258" s="12" t="s">
        <v>948</v>
      </c>
      <c r="G258" s="11">
        <v>5</v>
      </c>
      <c r="H258" s="11"/>
      <c r="I258" s="6" t="str">
        <f t="shared" si="3"/>
        <v xml:space="preserve"> var</v>
      </c>
      <c r="J258" s="21"/>
      <c r="K258" s="22"/>
      <c r="L258" s="21"/>
      <c r="M258" s="21"/>
    </row>
    <row r="259" spans="1:13" ht="17.25" customHeight="1">
      <c r="A259" s="19">
        <v>78</v>
      </c>
      <c r="B259" s="5" t="s">
        <v>73</v>
      </c>
      <c r="C259" s="5" t="s">
        <v>712</v>
      </c>
      <c r="D259" s="5" t="s">
        <v>713</v>
      </c>
      <c r="E259" s="11">
        <v>67</v>
      </c>
      <c r="F259" s="12" t="s">
        <v>954</v>
      </c>
      <c r="G259" s="11">
        <v>1</v>
      </c>
      <c r="H259" s="11"/>
      <c r="I259" s="6" t="str">
        <f t="shared" ref="I259:I322" si="4">IF(COUNTIF(J:J,A259)," var","yokkkk")</f>
        <v xml:space="preserve"> var</v>
      </c>
      <c r="J259" s="21"/>
      <c r="K259" s="22"/>
      <c r="L259" s="21"/>
      <c r="M259" s="21"/>
    </row>
    <row r="260" spans="1:13" ht="17.25" customHeight="1">
      <c r="A260" s="19">
        <v>78</v>
      </c>
      <c r="B260" s="5" t="s">
        <v>73</v>
      </c>
      <c r="C260" s="5" t="s">
        <v>712</v>
      </c>
      <c r="D260" s="5" t="s">
        <v>713</v>
      </c>
      <c r="E260" s="11">
        <v>86</v>
      </c>
      <c r="F260" s="12" t="s">
        <v>952</v>
      </c>
      <c r="G260" s="11">
        <v>2</v>
      </c>
      <c r="H260" s="11"/>
      <c r="I260" s="6" t="str">
        <f t="shared" si="4"/>
        <v xml:space="preserve"> var</v>
      </c>
      <c r="J260" s="21"/>
      <c r="K260" s="22"/>
      <c r="L260" s="21"/>
      <c r="M260" s="21"/>
    </row>
    <row r="261" spans="1:13" ht="17.25" customHeight="1">
      <c r="A261" s="19">
        <v>144</v>
      </c>
      <c r="B261" s="5" t="s">
        <v>104</v>
      </c>
      <c r="C261" s="5" t="s">
        <v>297</v>
      </c>
      <c r="D261" s="5" t="s">
        <v>298</v>
      </c>
      <c r="E261" s="11">
        <v>6</v>
      </c>
      <c r="F261" s="12" t="s">
        <v>563</v>
      </c>
      <c r="G261" s="11">
        <v>3</v>
      </c>
      <c r="H261" s="11"/>
      <c r="I261" s="6" t="str">
        <f t="shared" si="4"/>
        <v>yokkkk</v>
      </c>
      <c r="J261" s="21"/>
      <c r="K261" s="22"/>
      <c r="L261" s="21"/>
      <c r="M261" s="21"/>
    </row>
    <row r="262" spans="1:13" ht="17.25" customHeight="1">
      <c r="A262" s="19">
        <v>144</v>
      </c>
      <c r="B262" s="5" t="s">
        <v>104</v>
      </c>
      <c r="C262" s="5" t="s">
        <v>297</v>
      </c>
      <c r="D262" s="5" t="s">
        <v>298</v>
      </c>
      <c r="E262" s="11">
        <v>23</v>
      </c>
      <c r="F262" s="12" t="s">
        <v>7</v>
      </c>
      <c r="G262" s="11">
        <v>1</v>
      </c>
      <c r="H262" s="11"/>
      <c r="I262" s="6" t="str">
        <f t="shared" si="4"/>
        <v>yokkkk</v>
      </c>
      <c r="J262" s="21"/>
      <c r="K262" s="22"/>
      <c r="L262" s="21"/>
      <c r="M262" s="21"/>
    </row>
    <row r="263" spans="1:13" ht="17.25" customHeight="1">
      <c r="A263" s="19">
        <v>144</v>
      </c>
      <c r="B263" s="5" t="s">
        <v>104</v>
      </c>
      <c r="C263" s="5" t="s">
        <v>297</v>
      </c>
      <c r="D263" s="5" t="s">
        <v>298</v>
      </c>
      <c r="E263" s="11">
        <v>56</v>
      </c>
      <c r="F263" s="12" t="s">
        <v>948</v>
      </c>
      <c r="G263" s="11">
        <v>2</v>
      </c>
      <c r="H263" s="11"/>
      <c r="I263" s="6" t="str">
        <f t="shared" si="4"/>
        <v>yokkkk</v>
      </c>
      <c r="J263" s="21"/>
      <c r="K263" s="22"/>
      <c r="L263" s="21"/>
      <c r="M263" s="21"/>
    </row>
    <row r="264" spans="1:13" ht="17.25" customHeight="1">
      <c r="A264" s="19">
        <v>196</v>
      </c>
      <c r="B264" s="5" t="s">
        <v>133</v>
      </c>
      <c r="C264" s="5" t="s">
        <v>192</v>
      </c>
      <c r="D264" s="5" t="s">
        <v>311</v>
      </c>
      <c r="E264" s="11">
        <v>4</v>
      </c>
      <c r="F264" s="12" t="s">
        <v>3</v>
      </c>
      <c r="G264" s="11">
        <v>1</v>
      </c>
      <c r="H264" s="11"/>
      <c r="I264" s="6" t="str">
        <f t="shared" si="4"/>
        <v>yokkkk</v>
      </c>
      <c r="J264" s="21"/>
      <c r="K264" s="22"/>
      <c r="L264" s="21"/>
      <c r="M264" s="21"/>
    </row>
    <row r="265" spans="1:13" ht="17.25" customHeight="1">
      <c r="A265" s="19">
        <v>196</v>
      </c>
      <c r="B265" s="5" t="s">
        <v>133</v>
      </c>
      <c r="C265" s="5" t="s">
        <v>192</v>
      </c>
      <c r="D265" s="5" t="s">
        <v>311</v>
      </c>
      <c r="E265" s="11">
        <v>23</v>
      </c>
      <c r="F265" s="12" t="s">
        <v>7</v>
      </c>
      <c r="G265" s="11">
        <v>3</v>
      </c>
      <c r="H265" s="11"/>
      <c r="I265" s="6" t="str">
        <f t="shared" si="4"/>
        <v>yokkkk</v>
      </c>
      <c r="J265" s="21"/>
      <c r="K265" s="22"/>
      <c r="L265" s="21"/>
      <c r="M265" s="21"/>
    </row>
    <row r="266" spans="1:13" ht="17.25" customHeight="1">
      <c r="A266" s="19">
        <v>196</v>
      </c>
      <c r="B266" s="5" t="s">
        <v>133</v>
      </c>
      <c r="C266" s="5" t="s">
        <v>192</v>
      </c>
      <c r="D266" s="5" t="s">
        <v>311</v>
      </c>
      <c r="E266" s="11">
        <v>34</v>
      </c>
      <c r="F266" s="12" t="s">
        <v>8</v>
      </c>
      <c r="G266" s="11">
        <v>2</v>
      </c>
      <c r="H266" s="11"/>
      <c r="I266" s="6" t="str">
        <f t="shared" si="4"/>
        <v>yokkkk</v>
      </c>
      <c r="J266" s="21"/>
      <c r="K266" s="22"/>
      <c r="L266" s="21"/>
      <c r="M266" s="21"/>
    </row>
    <row r="267" spans="1:13" ht="17.25" customHeight="1">
      <c r="A267" s="19">
        <v>196</v>
      </c>
      <c r="B267" s="5" t="s">
        <v>133</v>
      </c>
      <c r="C267" s="5" t="s">
        <v>192</v>
      </c>
      <c r="D267" s="5" t="s">
        <v>311</v>
      </c>
      <c r="E267" s="11">
        <v>49</v>
      </c>
      <c r="F267" s="12" t="s">
        <v>6</v>
      </c>
      <c r="G267" s="11">
        <v>5</v>
      </c>
      <c r="H267" s="11"/>
      <c r="I267" s="6" t="str">
        <f t="shared" si="4"/>
        <v>yokkkk</v>
      </c>
      <c r="J267" s="21"/>
      <c r="K267" s="22"/>
      <c r="L267" s="21"/>
      <c r="M267" s="21"/>
    </row>
    <row r="268" spans="1:13" ht="17.25" customHeight="1">
      <c r="A268" s="19">
        <v>196</v>
      </c>
      <c r="B268" s="5" t="s">
        <v>133</v>
      </c>
      <c r="C268" s="5" t="s">
        <v>192</v>
      </c>
      <c r="D268" s="5" t="s">
        <v>311</v>
      </c>
      <c r="E268" s="11">
        <v>76</v>
      </c>
      <c r="F268" s="12" t="s">
        <v>4</v>
      </c>
      <c r="G268" s="11">
        <v>4</v>
      </c>
      <c r="H268" s="11"/>
      <c r="I268" s="6" t="str">
        <f t="shared" si="4"/>
        <v>yokkkk</v>
      </c>
      <c r="J268" s="21"/>
      <c r="K268" s="22"/>
      <c r="L268" s="21"/>
      <c r="M268" s="21"/>
    </row>
    <row r="269" spans="1:13" ht="17.25" customHeight="1">
      <c r="A269" s="19">
        <v>87</v>
      </c>
      <c r="B269" s="5" t="s">
        <v>81</v>
      </c>
      <c r="C269" s="5" t="s">
        <v>722</v>
      </c>
      <c r="D269" s="5" t="s">
        <v>93</v>
      </c>
      <c r="E269" s="11">
        <v>24</v>
      </c>
      <c r="F269" s="12" t="s">
        <v>951</v>
      </c>
      <c r="G269" s="11">
        <v>5</v>
      </c>
      <c r="H269" s="11"/>
      <c r="I269" s="6" t="str">
        <f t="shared" si="4"/>
        <v>yokkkk</v>
      </c>
      <c r="J269" s="21"/>
      <c r="K269" s="22"/>
      <c r="L269" s="21"/>
      <c r="M269" s="21"/>
    </row>
    <row r="270" spans="1:13" ht="17.25" customHeight="1">
      <c r="A270" s="19">
        <v>87</v>
      </c>
      <c r="B270" s="5" t="s">
        <v>81</v>
      </c>
      <c r="C270" s="5" t="s">
        <v>722</v>
      </c>
      <c r="D270" s="5" t="s">
        <v>93</v>
      </c>
      <c r="E270" s="11">
        <v>28</v>
      </c>
      <c r="F270" s="12" t="s">
        <v>570</v>
      </c>
      <c r="G270" s="11">
        <v>3</v>
      </c>
      <c r="H270" s="11"/>
      <c r="I270" s="6" t="str">
        <f t="shared" si="4"/>
        <v>yokkkk</v>
      </c>
      <c r="J270" s="21"/>
      <c r="K270" s="22"/>
      <c r="L270" s="21"/>
      <c r="M270" s="21"/>
    </row>
    <row r="271" spans="1:13" ht="17.25" customHeight="1">
      <c r="A271" s="19">
        <v>87</v>
      </c>
      <c r="B271" s="5" t="s">
        <v>81</v>
      </c>
      <c r="C271" s="5" t="s">
        <v>722</v>
      </c>
      <c r="D271" s="5" t="s">
        <v>93</v>
      </c>
      <c r="E271" s="11">
        <v>61</v>
      </c>
      <c r="F271" s="12" t="s">
        <v>576</v>
      </c>
      <c r="G271" s="11">
        <v>1</v>
      </c>
      <c r="H271" s="11"/>
      <c r="I271" s="6" t="str">
        <f t="shared" si="4"/>
        <v>yokkkk</v>
      </c>
      <c r="J271" s="21"/>
      <c r="K271" s="22"/>
      <c r="L271" s="21"/>
      <c r="M271" s="21"/>
    </row>
    <row r="272" spans="1:13" ht="17.25" customHeight="1">
      <c r="A272" s="19">
        <v>87</v>
      </c>
      <c r="B272" s="5" t="s">
        <v>81</v>
      </c>
      <c r="C272" s="5" t="s">
        <v>722</v>
      </c>
      <c r="D272" s="5" t="s">
        <v>93</v>
      </c>
      <c r="E272" s="11">
        <v>74</v>
      </c>
      <c r="F272" s="12" t="s">
        <v>584</v>
      </c>
      <c r="G272" s="11">
        <v>4</v>
      </c>
      <c r="H272" s="11"/>
      <c r="I272" s="6" t="str">
        <f t="shared" si="4"/>
        <v>yokkkk</v>
      </c>
      <c r="J272" s="21"/>
      <c r="K272" s="22"/>
      <c r="L272" s="21"/>
      <c r="M272" s="21"/>
    </row>
    <row r="273" spans="1:13" ht="17.25" customHeight="1">
      <c r="A273" s="19">
        <v>87</v>
      </c>
      <c r="B273" s="5" t="s">
        <v>81</v>
      </c>
      <c r="C273" s="5" t="s">
        <v>722</v>
      </c>
      <c r="D273" s="5" t="s">
        <v>93</v>
      </c>
      <c r="E273" s="11">
        <v>87</v>
      </c>
      <c r="F273" s="12" t="s">
        <v>566</v>
      </c>
      <c r="G273" s="11">
        <v>2</v>
      </c>
      <c r="H273" s="11"/>
      <c r="I273" s="6" t="str">
        <f t="shared" si="4"/>
        <v>yokkkk</v>
      </c>
      <c r="J273" s="21"/>
      <c r="K273" s="22"/>
      <c r="L273" s="21"/>
      <c r="M273" s="21"/>
    </row>
    <row r="274" spans="1:13" ht="17.25" customHeight="1">
      <c r="A274" s="19">
        <v>257</v>
      </c>
      <c r="B274" s="5" t="s">
        <v>158</v>
      </c>
      <c r="C274" s="5" t="s">
        <v>294</v>
      </c>
      <c r="D274" s="5" t="s">
        <v>888</v>
      </c>
      <c r="E274" s="11">
        <v>27</v>
      </c>
      <c r="F274" s="12" t="s">
        <v>569</v>
      </c>
      <c r="G274" s="11">
        <v>3</v>
      </c>
      <c r="H274" s="11"/>
      <c r="I274" s="6" t="str">
        <f t="shared" si="4"/>
        <v>yokkkk</v>
      </c>
      <c r="J274" s="21"/>
      <c r="K274" s="22"/>
      <c r="L274" s="21"/>
      <c r="M274" s="21"/>
    </row>
    <row r="275" spans="1:13" ht="17.25" customHeight="1">
      <c r="A275" s="19">
        <v>257</v>
      </c>
      <c r="B275" s="5" t="s">
        <v>158</v>
      </c>
      <c r="C275" s="5" t="s">
        <v>294</v>
      </c>
      <c r="D275" s="5" t="s">
        <v>888</v>
      </c>
      <c r="E275" s="11">
        <v>31</v>
      </c>
      <c r="F275" s="12" t="s">
        <v>946</v>
      </c>
      <c r="G275" s="11">
        <v>1</v>
      </c>
      <c r="H275" s="11"/>
      <c r="I275" s="6" t="str">
        <f t="shared" si="4"/>
        <v>yokkkk</v>
      </c>
      <c r="J275" s="21"/>
      <c r="K275" s="22"/>
      <c r="L275" s="21"/>
      <c r="M275" s="21"/>
    </row>
    <row r="276" spans="1:13" ht="17.25" customHeight="1">
      <c r="A276" s="19">
        <v>257</v>
      </c>
      <c r="B276" s="5" t="s">
        <v>158</v>
      </c>
      <c r="C276" s="5" t="s">
        <v>294</v>
      </c>
      <c r="D276" s="5" t="s">
        <v>888</v>
      </c>
      <c r="E276" s="11">
        <v>55</v>
      </c>
      <c r="F276" s="12" t="s">
        <v>238</v>
      </c>
      <c r="G276" s="11">
        <v>2</v>
      </c>
      <c r="H276" s="11"/>
      <c r="I276" s="6" t="str">
        <f t="shared" si="4"/>
        <v>yokkkk</v>
      </c>
      <c r="J276" s="21"/>
      <c r="K276" s="22"/>
      <c r="L276" s="21"/>
      <c r="M276" s="21"/>
    </row>
    <row r="277" spans="1:13" ht="17.25" customHeight="1">
      <c r="A277" s="19">
        <v>257</v>
      </c>
      <c r="B277" s="5" t="s">
        <v>158</v>
      </c>
      <c r="C277" s="5" t="s">
        <v>294</v>
      </c>
      <c r="D277" s="5" t="s">
        <v>888</v>
      </c>
      <c r="E277" s="11">
        <v>75</v>
      </c>
      <c r="F277" s="12" t="s">
        <v>959</v>
      </c>
      <c r="G277" s="11">
        <v>5</v>
      </c>
      <c r="H277" s="11"/>
      <c r="I277" s="6" t="str">
        <f t="shared" si="4"/>
        <v>yokkkk</v>
      </c>
      <c r="J277" s="21"/>
      <c r="K277" s="22"/>
      <c r="L277" s="21"/>
      <c r="M277" s="21"/>
    </row>
    <row r="278" spans="1:13" ht="17.25" customHeight="1">
      <c r="A278" s="19">
        <v>257</v>
      </c>
      <c r="B278" s="5" t="s">
        <v>158</v>
      </c>
      <c r="C278" s="5" t="s">
        <v>294</v>
      </c>
      <c r="D278" s="5" t="s">
        <v>888</v>
      </c>
      <c r="E278" s="11">
        <v>84</v>
      </c>
      <c r="F278" s="12" t="s">
        <v>237</v>
      </c>
      <c r="G278" s="11">
        <v>4</v>
      </c>
      <c r="H278" s="11"/>
      <c r="I278" s="6" t="str">
        <f t="shared" si="4"/>
        <v>yokkkk</v>
      </c>
      <c r="J278" s="21"/>
      <c r="K278" s="22"/>
      <c r="L278" s="21"/>
      <c r="M278" s="21"/>
    </row>
    <row r="279" spans="1:13" ht="17.25" customHeight="1">
      <c r="A279" s="19">
        <v>46</v>
      </c>
      <c r="B279" s="5" t="s">
        <v>44</v>
      </c>
      <c r="C279" s="5" t="s">
        <v>666</v>
      </c>
      <c r="D279" s="5" t="s">
        <v>667</v>
      </c>
      <c r="E279" s="11">
        <v>2</v>
      </c>
      <c r="F279" s="12" t="s">
        <v>529</v>
      </c>
      <c r="G279" s="11">
        <v>1</v>
      </c>
      <c r="H279" s="11"/>
      <c r="I279" s="6" t="str">
        <f t="shared" si="4"/>
        <v>yokkkk</v>
      </c>
      <c r="J279" s="21"/>
      <c r="K279" s="22"/>
      <c r="L279" s="21"/>
      <c r="M279" s="21"/>
    </row>
    <row r="280" spans="1:13" ht="17.25" customHeight="1">
      <c r="A280" s="19">
        <v>46</v>
      </c>
      <c r="B280" s="5" t="s">
        <v>44</v>
      </c>
      <c r="C280" s="5" t="s">
        <v>666</v>
      </c>
      <c r="D280" s="5" t="s">
        <v>667</v>
      </c>
      <c r="E280" s="11">
        <v>10</v>
      </c>
      <c r="F280" s="12" t="s">
        <v>538</v>
      </c>
      <c r="G280" s="11">
        <v>4</v>
      </c>
      <c r="H280" s="11"/>
      <c r="I280" s="6" t="str">
        <f t="shared" si="4"/>
        <v>yokkkk</v>
      </c>
      <c r="J280" s="21"/>
      <c r="K280" s="22"/>
      <c r="L280" s="21"/>
      <c r="M280" s="21"/>
    </row>
    <row r="281" spans="1:13" ht="17.25" customHeight="1">
      <c r="A281" s="19">
        <v>46</v>
      </c>
      <c r="B281" s="5" t="s">
        <v>44</v>
      </c>
      <c r="C281" s="5" t="s">
        <v>666</v>
      </c>
      <c r="D281" s="5" t="s">
        <v>667</v>
      </c>
      <c r="E281" s="11">
        <v>11</v>
      </c>
      <c r="F281" s="12" t="s">
        <v>539</v>
      </c>
      <c r="G281" s="11">
        <v>3</v>
      </c>
      <c r="H281" s="11"/>
      <c r="I281" s="6" t="str">
        <f t="shared" si="4"/>
        <v>yokkkk</v>
      </c>
      <c r="J281" s="21"/>
      <c r="K281" s="22"/>
      <c r="L281" s="21"/>
      <c r="M281" s="21"/>
    </row>
    <row r="282" spans="1:13" ht="17.25" customHeight="1">
      <c r="A282" s="19">
        <v>46</v>
      </c>
      <c r="B282" s="5" t="s">
        <v>44</v>
      </c>
      <c r="C282" s="5" t="s">
        <v>666</v>
      </c>
      <c r="D282" s="5" t="s">
        <v>667</v>
      </c>
      <c r="E282" s="11">
        <v>48</v>
      </c>
      <c r="F282" s="12" t="s">
        <v>957</v>
      </c>
      <c r="G282" s="11">
        <v>6</v>
      </c>
      <c r="H282" s="11"/>
      <c r="I282" s="6" t="str">
        <f t="shared" si="4"/>
        <v>yokkkk</v>
      </c>
      <c r="J282" s="21"/>
      <c r="K282" s="22"/>
      <c r="L282" s="21"/>
      <c r="M282" s="21"/>
    </row>
    <row r="283" spans="1:13" ht="17.25" customHeight="1">
      <c r="A283" s="19">
        <v>46</v>
      </c>
      <c r="B283" s="5" t="s">
        <v>44</v>
      </c>
      <c r="C283" s="5" t="s">
        <v>666</v>
      </c>
      <c r="D283" s="5" t="s">
        <v>667</v>
      </c>
      <c r="E283" s="11">
        <v>69</v>
      </c>
      <c r="F283" s="12" t="s">
        <v>585</v>
      </c>
      <c r="G283" s="11">
        <v>2</v>
      </c>
      <c r="H283" s="11"/>
      <c r="I283" s="6" t="str">
        <f t="shared" si="4"/>
        <v>yokkkk</v>
      </c>
      <c r="J283" s="21"/>
      <c r="K283" s="22"/>
      <c r="L283" s="21"/>
      <c r="M283" s="21"/>
    </row>
    <row r="284" spans="1:13" ht="17.25" customHeight="1">
      <c r="A284" s="19">
        <v>46</v>
      </c>
      <c r="B284" s="5" t="s">
        <v>44</v>
      </c>
      <c r="C284" s="5" t="s">
        <v>666</v>
      </c>
      <c r="D284" s="5" t="s">
        <v>667</v>
      </c>
      <c r="E284" s="11">
        <v>88</v>
      </c>
      <c r="F284" s="12" t="s">
        <v>953</v>
      </c>
      <c r="G284" s="11">
        <v>5</v>
      </c>
      <c r="H284" s="11"/>
      <c r="I284" s="6" t="str">
        <f t="shared" si="4"/>
        <v>yokkkk</v>
      </c>
      <c r="J284" s="21"/>
      <c r="K284" s="22"/>
      <c r="L284" s="21"/>
      <c r="M284" s="21"/>
    </row>
    <row r="285" spans="1:13" ht="17.25" customHeight="1">
      <c r="A285" s="19">
        <v>218</v>
      </c>
      <c r="B285" s="5" t="s">
        <v>140</v>
      </c>
      <c r="C285" s="5" t="s">
        <v>847</v>
      </c>
      <c r="D285" s="5" t="s">
        <v>189</v>
      </c>
      <c r="E285" s="11">
        <v>27</v>
      </c>
      <c r="F285" s="12" t="s">
        <v>569</v>
      </c>
      <c r="G285" s="11">
        <v>1</v>
      </c>
      <c r="H285" s="11"/>
      <c r="I285" s="6" t="str">
        <f t="shared" si="4"/>
        <v>yokkkk</v>
      </c>
      <c r="J285" s="21"/>
      <c r="K285" s="22"/>
      <c r="L285" s="21"/>
      <c r="M285" s="21"/>
    </row>
    <row r="286" spans="1:13" ht="17.25" customHeight="1">
      <c r="A286" s="19">
        <v>218</v>
      </c>
      <c r="B286" s="5" t="s">
        <v>140</v>
      </c>
      <c r="C286" s="5" t="s">
        <v>847</v>
      </c>
      <c r="D286" s="5" t="s">
        <v>189</v>
      </c>
      <c r="E286" s="11">
        <v>46</v>
      </c>
      <c r="F286" s="12" t="s">
        <v>568</v>
      </c>
      <c r="G286" s="11">
        <v>2</v>
      </c>
      <c r="H286" s="11"/>
      <c r="I286" s="6" t="str">
        <f t="shared" si="4"/>
        <v>yokkkk</v>
      </c>
      <c r="J286" s="21"/>
      <c r="K286" s="22"/>
      <c r="L286" s="21"/>
      <c r="M286" s="21"/>
    </row>
    <row r="287" spans="1:13" ht="17.25" customHeight="1">
      <c r="A287" s="19">
        <v>218</v>
      </c>
      <c r="B287" s="5" t="s">
        <v>140</v>
      </c>
      <c r="C287" s="5" t="s">
        <v>847</v>
      </c>
      <c r="D287" s="5" t="s">
        <v>189</v>
      </c>
      <c r="E287" s="11">
        <v>58</v>
      </c>
      <c r="F287" s="12" t="s">
        <v>553</v>
      </c>
      <c r="G287" s="11">
        <v>5</v>
      </c>
      <c r="H287" s="11"/>
      <c r="I287" s="6" t="str">
        <f t="shared" si="4"/>
        <v>yokkkk</v>
      </c>
      <c r="J287" s="21"/>
      <c r="K287" s="22"/>
      <c r="L287" s="21"/>
      <c r="M287" s="21"/>
    </row>
    <row r="288" spans="1:13" ht="17.25" customHeight="1">
      <c r="A288" s="19">
        <v>218</v>
      </c>
      <c r="B288" s="5" t="s">
        <v>140</v>
      </c>
      <c r="C288" s="5" t="s">
        <v>847</v>
      </c>
      <c r="D288" s="5" t="s">
        <v>189</v>
      </c>
      <c r="E288" s="11">
        <v>81</v>
      </c>
      <c r="F288" s="12" t="s">
        <v>546</v>
      </c>
      <c r="G288" s="11">
        <v>3</v>
      </c>
      <c r="H288" s="11"/>
      <c r="I288" s="6" t="str">
        <f t="shared" si="4"/>
        <v>yokkkk</v>
      </c>
      <c r="J288" s="21"/>
      <c r="K288" s="22"/>
      <c r="L288" s="21"/>
      <c r="M288" s="21"/>
    </row>
    <row r="289" spans="1:13" ht="17.25" customHeight="1">
      <c r="A289" s="19">
        <v>218</v>
      </c>
      <c r="B289" s="5" t="s">
        <v>140</v>
      </c>
      <c r="C289" s="5" t="s">
        <v>847</v>
      </c>
      <c r="D289" s="5" t="s">
        <v>189</v>
      </c>
      <c r="E289" s="11">
        <v>88</v>
      </c>
      <c r="F289" s="12" t="s">
        <v>953</v>
      </c>
      <c r="G289" s="11">
        <v>4</v>
      </c>
      <c r="H289" s="11"/>
      <c r="I289" s="6" t="str">
        <f t="shared" si="4"/>
        <v>yokkkk</v>
      </c>
      <c r="J289" s="21"/>
      <c r="K289" s="22"/>
      <c r="L289" s="21"/>
      <c r="M289" s="21"/>
    </row>
    <row r="290" spans="1:13" ht="17.25" customHeight="1">
      <c r="A290" s="19">
        <v>24</v>
      </c>
      <c r="B290" s="5" t="s">
        <v>31</v>
      </c>
      <c r="C290" s="5" t="s">
        <v>17</v>
      </c>
      <c r="D290" s="5" t="s">
        <v>639</v>
      </c>
      <c r="E290" s="11">
        <v>20</v>
      </c>
      <c r="F290" s="12" t="s">
        <v>581</v>
      </c>
      <c r="G290" s="11">
        <v>1</v>
      </c>
      <c r="H290" s="11"/>
      <c r="I290" s="6" t="str">
        <f t="shared" si="4"/>
        <v>yokkkk</v>
      </c>
      <c r="J290" s="21"/>
      <c r="K290" s="22"/>
      <c r="L290" s="21"/>
      <c r="M290" s="21"/>
    </row>
    <row r="291" spans="1:13" ht="17.25" customHeight="1">
      <c r="A291" s="19">
        <v>132</v>
      </c>
      <c r="B291" s="5" t="s">
        <v>104</v>
      </c>
      <c r="C291" s="5" t="s">
        <v>208</v>
      </c>
      <c r="D291" s="5" t="s">
        <v>209</v>
      </c>
      <c r="E291" s="11">
        <v>10</v>
      </c>
      <c r="F291" s="12" t="s">
        <v>538</v>
      </c>
      <c r="G291" s="11">
        <v>3</v>
      </c>
      <c r="H291" s="11"/>
      <c r="I291" s="6" t="str">
        <f t="shared" si="4"/>
        <v>yokkkk</v>
      </c>
      <c r="J291" s="21"/>
      <c r="K291" s="22"/>
      <c r="L291" s="21"/>
      <c r="M291" s="21"/>
    </row>
    <row r="292" spans="1:13" ht="17.25" customHeight="1">
      <c r="A292" s="19">
        <v>132</v>
      </c>
      <c r="B292" s="5" t="s">
        <v>104</v>
      </c>
      <c r="C292" s="5" t="s">
        <v>208</v>
      </c>
      <c r="D292" s="5" t="s">
        <v>209</v>
      </c>
      <c r="E292" s="11">
        <v>11</v>
      </c>
      <c r="F292" s="12" t="s">
        <v>539</v>
      </c>
      <c r="G292" s="11">
        <v>4</v>
      </c>
      <c r="H292" s="11"/>
      <c r="I292" s="6" t="str">
        <f t="shared" si="4"/>
        <v>yokkkk</v>
      </c>
      <c r="J292" s="21"/>
      <c r="K292" s="22"/>
      <c r="L292" s="21"/>
      <c r="M292" s="21"/>
    </row>
    <row r="293" spans="1:13" ht="17.25" customHeight="1">
      <c r="A293" s="19">
        <v>132</v>
      </c>
      <c r="B293" s="5" t="s">
        <v>104</v>
      </c>
      <c r="C293" s="5" t="s">
        <v>208</v>
      </c>
      <c r="D293" s="5" t="s">
        <v>209</v>
      </c>
      <c r="E293" s="11">
        <v>23</v>
      </c>
      <c r="F293" s="12" t="s">
        <v>7</v>
      </c>
      <c r="G293" s="11">
        <v>1</v>
      </c>
      <c r="H293" s="11"/>
      <c r="I293" s="6" t="str">
        <f t="shared" si="4"/>
        <v>yokkkk</v>
      </c>
      <c r="J293" s="21"/>
      <c r="K293" s="22"/>
      <c r="L293" s="21"/>
      <c r="M293" s="21"/>
    </row>
    <row r="294" spans="1:13" ht="17.25" customHeight="1">
      <c r="A294" s="19">
        <v>132</v>
      </c>
      <c r="B294" s="5" t="s">
        <v>104</v>
      </c>
      <c r="C294" s="5" t="s">
        <v>208</v>
      </c>
      <c r="D294" s="5" t="s">
        <v>209</v>
      </c>
      <c r="E294" s="11">
        <v>97</v>
      </c>
      <c r="F294" s="12" t="s">
        <v>939</v>
      </c>
      <c r="G294" s="11">
        <v>2</v>
      </c>
      <c r="H294" s="11"/>
      <c r="I294" s="6" t="str">
        <f t="shared" si="4"/>
        <v>yokkkk</v>
      </c>
      <c r="J294" s="21"/>
      <c r="K294" s="22"/>
      <c r="L294" s="21"/>
      <c r="M294" s="21"/>
    </row>
    <row r="295" spans="1:13" ht="17.25" customHeight="1">
      <c r="A295" s="19">
        <v>219</v>
      </c>
      <c r="B295" s="5" t="s">
        <v>140</v>
      </c>
      <c r="C295" s="5" t="s">
        <v>336</v>
      </c>
      <c r="D295" s="5" t="s">
        <v>34</v>
      </c>
      <c r="E295" s="11">
        <v>46</v>
      </c>
      <c r="F295" s="12" t="s">
        <v>568</v>
      </c>
      <c r="G295" s="11">
        <v>3</v>
      </c>
      <c r="H295" s="11"/>
      <c r="I295" s="6" t="str">
        <f t="shared" si="4"/>
        <v>yokkkk</v>
      </c>
      <c r="J295" s="21"/>
      <c r="K295" s="22"/>
      <c r="L295" s="21"/>
      <c r="M295" s="21"/>
    </row>
    <row r="296" spans="1:13" ht="17.25" customHeight="1">
      <c r="A296" s="19">
        <v>219</v>
      </c>
      <c r="B296" s="5" t="s">
        <v>140</v>
      </c>
      <c r="C296" s="5" t="s">
        <v>336</v>
      </c>
      <c r="D296" s="5" t="s">
        <v>34</v>
      </c>
      <c r="E296" s="11">
        <v>53</v>
      </c>
      <c r="F296" s="12" t="s">
        <v>562</v>
      </c>
      <c r="G296" s="11">
        <v>5</v>
      </c>
      <c r="H296" s="11"/>
      <c r="I296" s="6" t="str">
        <f t="shared" si="4"/>
        <v>yokkkk</v>
      </c>
      <c r="J296" s="21"/>
      <c r="K296" s="22"/>
      <c r="L296" s="21"/>
      <c r="M296" s="21"/>
    </row>
    <row r="297" spans="1:13" ht="17.25" customHeight="1">
      <c r="A297" s="19">
        <v>219</v>
      </c>
      <c r="B297" s="5" t="s">
        <v>140</v>
      </c>
      <c r="C297" s="5" t="s">
        <v>336</v>
      </c>
      <c r="D297" s="5" t="s">
        <v>34</v>
      </c>
      <c r="E297" s="11">
        <v>58</v>
      </c>
      <c r="F297" s="12" t="s">
        <v>553</v>
      </c>
      <c r="G297" s="11">
        <v>2</v>
      </c>
      <c r="H297" s="11"/>
      <c r="I297" s="6" t="str">
        <f t="shared" si="4"/>
        <v>yokkkk</v>
      </c>
      <c r="J297" s="21"/>
      <c r="K297" s="22"/>
      <c r="L297" s="21"/>
      <c r="M297" s="21"/>
    </row>
    <row r="298" spans="1:13" ht="17.25" customHeight="1">
      <c r="A298" s="19">
        <v>219</v>
      </c>
      <c r="B298" s="5" t="s">
        <v>140</v>
      </c>
      <c r="C298" s="5" t="s">
        <v>336</v>
      </c>
      <c r="D298" s="5" t="s">
        <v>34</v>
      </c>
      <c r="E298" s="11">
        <v>63</v>
      </c>
      <c r="F298" s="12" t="s">
        <v>579</v>
      </c>
      <c r="G298" s="11">
        <v>4</v>
      </c>
      <c r="H298" s="11"/>
      <c r="I298" s="6" t="str">
        <f t="shared" si="4"/>
        <v>yokkkk</v>
      </c>
      <c r="J298" s="21"/>
      <c r="K298" s="22"/>
      <c r="L298" s="21"/>
      <c r="M298" s="21"/>
    </row>
    <row r="299" spans="1:13" ht="17.25" customHeight="1">
      <c r="A299" s="19">
        <v>219</v>
      </c>
      <c r="B299" s="5" t="s">
        <v>140</v>
      </c>
      <c r="C299" s="5" t="s">
        <v>336</v>
      </c>
      <c r="D299" s="5" t="s">
        <v>34</v>
      </c>
      <c r="E299" s="11">
        <v>86</v>
      </c>
      <c r="F299" s="12" t="s">
        <v>952</v>
      </c>
      <c r="G299" s="11">
        <v>1</v>
      </c>
      <c r="H299" s="11"/>
      <c r="I299" s="6" t="str">
        <f t="shared" si="4"/>
        <v>yokkkk</v>
      </c>
      <c r="J299" s="21"/>
      <c r="K299" s="22"/>
      <c r="L299" s="21"/>
      <c r="M299" s="21"/>
    </row>
    <row r="300" spans="1:13" ht="17.25" customHeight="1">
      <c r="A300" s="19">
        <v>86</v>
      </c>
      <c r="B300" s="5" t="s">
        <v>80</v>
      </c>
      <c r="C300" s="5" t="s">
        <v>271</v>
      </c>
      <c r="D300" s="5" t="s">
        <v>45</v>
      </c>
      <c r="E300" s="11">
        <v>31</v>
      </c>
      <c r="F300" s="12" t="s">
        <v>946</v>
      </c>
      <c r="G300" s="11">
        <v>5</v>
      </c>
      <c r="H300" s="11"/>
      <c r="I300" s="6" t="str">
        <f t="shared" si="4"/>
        <v xml:space="preserve"> var</v>
      </c>
      <c r="J300" s="21"/>
      <c r="K300" s="22"/>
      <c r="L300" s="21"/>
      <c r="M300" s="21"/>
    </row>
    <row r="301" spans="1:13" ht="17.25" customHeight="1">
      <c r="A301" s="19">
        <v>86</v>
      </c>
      <c r="B301" s="5" t="s">
        <v>80</v>
      </c>
      <c r="C301" s="5" t="s">
        <v>271</v>
      </c>
      <c r="D301" s="5" t="s">
        <v>45</v>
      </c>
      <c r="E301" s="11">
        <v>33</v>
      </c>
      <c r="F301" s="12" t="s">
        <v>5</v>
      </c>
      <c r="G301" s="11">
        <v>1</v>
      </c>
      <c r="H301" s="11"/>
      <c r="I301" s="6" t="str">
        <f t="shared" si="4"/>
        <v xml:space="preserve"> var</v>
      </c>
      <c r="J301" s="21"/>
      <c r="K301" s="22"/>
      <c r="L301" s="21"/>
      <c r="M301" s="21"/>
    </row>
    <row r="302" spans="1:13" ht="17.25" customHeight="1">
      <c r="A302" s="19">
        <v>86</v>
      </c>
      <c r="B302" s="5" t="s">
        <v>80</v>
      </c>
      <c r="C302" s="5" t="s">
        <v>271</v>
      </c>
      <c r="D302" s="5" t="s">
        <v>45</v>
      </c>
      <c r="E302" s="11">
        <v>43</v>
      </c>
      <c r="F302" s="12" t="s">
        <v>10</v>
      </c>
      <c r="G302" s="11">
        <v>3</v>
      </c>
      <c r="H302" s="11"/>
      <c r="I302" s="6" t="str">
        <f t="shared" si="4"/>
        <v xml:space="preserve"> var</v>
      </c>
      <c r="J302" s="21"/>
      <c r="K302" s="22"/>
      <c r="L302" s="21"/>
      <c r="M302" s="21"/>
    </row>
    <row r="303" spans="1:13" ht="17.25" customHeight="1">
      <c r="A303" s="19">
        <v>86</v>
      </c>
      <c r="B303" s="5" t="s">
        <v>80</v>
      </c>
      <c r="C303" s="5" t="s">
        <v>271</v>
      </c>
      <c r="D303" s="5" t="s">
        <v>45</v>
      </c>
      <c r="E303" s="11">
        <v>49</v>
      </c>
      <c r="F303" s="12" t="s">
        <v>6</v>
      </c>
      <c r="G303" s="11">
        <v>2</v>
      </c>
      <c r="H303" s="11"/>
      <c r="I303" s="6" t="str">
        <f t="shared" si="4"/>
        <v xml:space="preserve"> var</v>
      </c>
      <c r="J303" s="21"/>
      <c r="K303" s="22"/>
      <c r="L303" s="21"/>
      <c r="M303" s="21"/>
    </row>
    <row r="304" spans="1:13" ht="17.25" customHeight="1">
      <c r="A304" s="19">
        <v>86</v>
      </c>
      <c r="B304" s="5" t="s">
        <v>80</v>
      </c>
      <c r="C304" s="5" t="s">
        <v>271</v>
      </c>
      <c r="D304" s="5" t="s">
        <v>45</v>
      </c>
      <c r="E304" s="11">
        <v>84</v>
      </c>
      <c r="F304" s="12" t="s">
        <v>237</v>
      </c>
      <c r="G304" s="11">
        <v>4</v>
      </c>
      <c r="H304" s="11"/>
      <c r="I304" s="6" t="str">
        <f t="shared" si="4"/>
        <v xml:space="preserve"> var</v>
      </c>
      <c r="J304" s="21"/>
      <c r="K304" s="22"/>
      <c r="L304" s="21"/>
      <c r="M304" s="21"/>
    </row>
    <row r="305" spans="1:13" ht="17.25" customHeight="1">
      <c r="A305" s="19">
        <v>272</v>
      </c>
      <c r="B305" s="5" t="s">
        <v>163</v>
      </c>
      <c r="C305" s="5" t="s">
        <v>75</v>
      </c>
      <c r="D305" s="5" t="s">
        <v>100</v>
      </c>
      <c r="E305" s="11">
        <v>29</v>
      </c>
      <c r="F305" s="12" t="s">
        <v>571</v>
      </c>
      <c r="G305" s="11">
        <v>3</v>
      </c>
      <c r="H305" s="11"/>
      <c r="I305" s="6" t="str">
        <f t="shared" si="4"/>
        <v>yokkkk</v>
      </c>
      <c r="J305" s="21"/>
      <c r="K305" s="22"/>
      <c r="L305" s="21"/>
      <c r="M305" s="21"/>
    </row>
    <row r="306" spans="1:13" ht="17.25" customHeight="1">
      <c r="A306" s="19">
        <v>272</v>
      </c>
      <c r="B306" s="5" t="s">
        <v>163</v>
      </c>
      <c r="C306" s="5" t="s">
        <v>75</v>
      </c>
      <c r="D306" s="5" t="s">
        <v>100</v>
      </c>
      <c r="E306" s="11">
        <v>36</v>
      </c>
      <c r="F306" s="12" t="s">
        <v>557</v>
      </c>
      <c r="G306" s="11">
        <v>5</v>
      </c>
      <c r="H306" s="11"/>
      <c r="I306" s="6" t="str">
        <f t="shared" si="4"/>
        <v>yokkkk</v>
      </c>
      <c r="J306" s="21"/>
      <c r="K306" s="22"/>
      <c r="L306" s="21"/>
      <c r="M306" s="21"/>
    </row>
    <row r="307" spans="1:13" ht="17.25" customHeight="1">
      <c r="A307" s="19">
        <v>272</v>
      </c>
      <c r="B307" s="5" t="s">
        <v>163</v>
      </c>
      <c r="C307" s="5" t="s">
        <v>75</v>
      </c>
      <c r="D307" s="5" t="s">
        <v>100</v>
      </c>
      <c r="E307" s="11">
        <v>50</v>
      </c>
      <c r="F307" s="12" t="s">
        <v>559</v>
      </c>
      <c r="G307" s="11">
        <v>2</v>
      </c>
      <c r="H307" s="11"/>
      <c r="I307" s="6" t="str">
        <f t="shared" si="4"/>
        <v>yokkkk</v>
      </c>
      <c r="J307" s="21"/>
      <c r="K307" s="22"/>
      <c r="L307" s="21"/>
      <c r="M307" s="21"/>
    </row>
    <row r="308" spans="1:13" ht="17.25" customHeight="1">
      <c r="A308" s="19">
        <v>272</v>
      </c>
      <c r="B308" s="5" t="s">
        <v>163</v>
      </c>
      <c r="C308" s="5" t="s">
        <v>75</v>
      </c>
      <c r="D308" s="5" t="s">
        <v>100</v>
      </c>
      <c r="E308" s="11">
        <v>54</v>
      </c>
      <c r="F308" s="12" t="s">
        <v>533</v>
      </c>
      <c r="G308" s="11">
        <v>1</v>
      </c>
      <c r="H308" s="11"/>
      <c r="I308" s="6" t="str">
        <f t="shared" si="4"/>
        <v>yokkkk</v>
      </c>
      <c r="J308" s="21"/>
      <c r="K308" s="22"/>
      <c r="L308" s="21"/>
      <c r="M308" s="21"/>
    </row>
    <row r="309" spans="1:13" ht="17.25" customHeight="1">
      <c r="A309" s="19">
        <v>272</v>
      </c>
      <c r="B309" s="5" t="s">
        <v>163</v>
      </c>
      <c r="C309" s="5" t="s">
        <v>75</v>
      </c>
      <c r="D309" s="5" t="s">
        <v>100</v>
      </c>
      <c r="E309" s="11">
        <v>61</v>
      </c>
      <c r="F309" s="12" t="s">
        <v>576</v>
      </c>
      <c r="G309" s="11">
        <v>4</v>
      </c>
      <c r="H309" s="11"/>
      <c r="I309" s="6" t="str">
        <f t="shared" si="4"/>
        <v>yokkkk</v>
      </c>
      <c r="J309" s="21"/>
      <c r="K309" s="22"/>
      <c r="L309" s="21"/>
      <c r="M309" s="21"/>
    </row>
    <row r="310" spans="1:13" ht="17.25" customHeight="1">
      <c r="A310" s="19">
        <v>183</v>
      </c>
      <c r="B310" s="5" t="s">
        <v>119</v>
      </c>
      <c r="C310" s="5" t="s">
        <v>12</v>
      </c>
      <c r="D310" s="5" t="s">
        <v>61</v>
      </c>
      <c r="E310" s="11">
        <v>9</v>
      </c>
      <c r="F310" s="12" t="s">
        <v>537</v>
      </c>
      <c r="G310" s="11">
        <v>3</v>
      </c>
      <c r="H310" s="11"/>
      <c r="I310" s="6" t="str">
        <f t="shared" si="4"/>
        <v>yokkkk</v>
      </c>
      <c r="J310" s="21"/>
      <c r="K310" s="22"/>
      <c r="L310" s="21"/>
      <c r="M310" s="21"/>
    </row>
    <row r="311" spans="1:13" ht="17.25" customHeight="1">
      <c r="A311" s="19">
        <v>183</v>
      </c>
      <c r="B311" s="5" t="s">
        <v>119</v>
      </c>
      <c r="C311" s="5" t="s">
        <v>12</v>
      </c>
      <c r="D311" s="5" t="s">
        <v>61</v>
      </c>
      <c r="E311" s="11">
        <v>27</v>
      </c>
      <c r="F311" s="12" t="s">
        <v>569</v>
      </c>
      <c r="G311" s="11">
        <v>4</v>
      </c>
      <c r="H311" s="11"/>
      <c r="I311" s="6" t="str">
        <f t="shared" si="4"/>
        <v>yokkkk</v>
      </c>
      <c r="J311" s="21"/>
      <c r="K311" s="22"/>
      <c r="L311" s="21"/>
      <c r="M311" s="21"/>
    </row>
    <row r="312" spans="1:13" ht="17.25" customHeight="1">
      <c r="A312" s="19">
        <v>183</v>
      </c>
      <c r="B312" s="5" t="s">
        <v>119</v>
      </c>
      <c r="C312" s="5" t="s">
        <v>12</v>
      </c>
      <c r="D312" s="5" t="s">
        <v>61</v>
      </c>
      <c r="E312" s="11">
        <v>28</v>
      </c>
      <c r="F312" s="12" t="s">
        <v>570</v>
      </c>
      <c r="G312" s="11">
        <v>1</v>
      </c>
      <c r="H312" s="11"/>
      <c r="I312" s="6" t="str">
        <f t="shared" si="4"/>
        <v>yokkkk</v>
      </c>
      <c r="J312" s="21"/>
      <c r="K312" s="22"/>
      <c r="L312" s="21"/>
      <c r="M312" s="21"/>
    </row>
    <row r="313" spans="1:13" ht="17.25" customHeight="1">
      <c r="A313" s="19">
        <v>183</v>
      </c>
      <c r="B313" s="5" t="s">
        <v>119</v>
      </c>
      <c r="C313" s="5" t="s">
        <v>12</v>
      </c>
      <c r="D313" s="5" t="s">
        <v>61</v>
      </c>
      <c r="E313" s="11">
        <v>55</v>
      </c>
      <c r="F313" s="12" t="s">
        <v>238</v>
      </c>
      <c r="G313" s="11">
        <v>2</v>
      </c>
      <c r="H313" s="11"/>
      <c r="I313" s="6" t="str">
        <f t="shared" si="4"/>
        <v>yokkkk</v>
      </c>
      <c r="J313" s="21"/>
      <c r="K313" s="22"/>
      <c r="L313" s="21"/>
      <c r="M313" s="21"/>
    </row>
    <row r="314" spans="1:13" ht="17.25" customHeight="1">
      <c r="A314" s="19">
        <v>183</v>
      </c>
      <c r="B314" s="5" t="s">
        <v>119</v>
      </c>
      <c r="C314" s="5" t="s">
        <v>12</v>
      </c>
      <c r="D314" s="5" t="s">
        <v>61</v>
      </c>
      <c r="E314" s="11">
        <v>81</v>
      </c>
      <c r="F314" s="12" t="s">
        <v>546</v>
      </c>
      <c r="G314" s="11">
        <v>5</v>
      </c>
      <c r="H314" s="11"/>
      <c r="I314" s="6" t="str">
        <f t="shared" si="4"/>
        <v>yokkkk</v>
      </c>
      <c r="J314" s="21"/>
      <c r="K314" s="22"/>
      <c r="L314" s="21"/>
      <c r="M314" s="21"/>
    </row>
    <row r="315" spans="1:13" ht="17.25" customHeight="1">
      <c r="A315" s="19">
        <v>141</v>
      </c>
      <c r="B315" s="5" t="s">
        <v>104</v>
      </c>
      <c r="C315" s="5" t="s">
        <v>785</v>
      </c>
      <c r="D315" s="5" t="s">
        <v>786</v>
      </c>
      <c r="E315" s="11">
        <v>18</v>
      </c>
      <c r="F315" s="12" t="s">
        <v>9</v>
      </c>
      <c r="G315" s="11">
        <v>3</v>
      </c>
      <c r="H315" s="11"/>
      <c r="I315" s="6" t="str">
        <f t="shared" si="4"/>
        <v>yokkkk</v>
      </c>
      <c r="J315" s="21"/>
      <c r="K315" s="22"/>
      <c r="L315" s="21"/>
      <c r="M315" s="21"/>
    </row>
    <row r="316" spans="1:13" ht="17.25" customHeight="1">
      <c r="A316" s="19">
        <v>141</v>
      </c>
      <c r="B316" s="5" t="s">
        <v>104</v>
      </c>
      <c r="C316" s="5" t="s">
        <v>785</v>
      </c>
      <c r="D316" s="5" t="s">
        <v>786</v>
      </c>
      <c r="E316" s="11">
        <v>22</v>
      </c>
      <c r="F316" s="12" t="s">
        <v>956</v>
      </c>
      <c r="G316" s="11">
        <v>2</v>
      </c>
      <c r="H316" s="11"/>
      <c r="I316" s="6" t="str">
        <f t="shared" si="4"/>
        <v>yokkkk</v>
      </c>
      <c r="J316" s="21"/>
      <c r="K316" s="22"/>
      <c r="L316" s="21"/>
      <c r="M316" s="21"/>
    </row>
    <row r="317" spans="1:13" ht="17.25" customHeight="1">
      <c r="A317" s="19">
        <v>141</v>
      </c>
      <c r="B317" s="5" t="s">
        <v>104</v>
      </c>
      <c r="C317" s="5" t="s">
        <v>785</v>
      </c>
      <c r="D317" s="5" t="s">
        <v>786</v>
      </c>
      <c r="E317" s="11">
        <v>55</v>
      </c>
      <c r="F317" s="12" t="s">
        <v>238</v>
      </c>
      <c r="G317" s="11">
        <v>1</v>
      </c>
      <c r="H317" s="11"/>
      <c r="I317" s="6" t="str">
        <f t="shared" si="4"/>
        <v>yokkkk</v>
      </c>
      <c r="J317" s="21"/>
      <c r="K317" s="22"/>
      <c r="L317" s="21"/>
      <c r="M317" s="21"/>
    </row>
    <row r="318" spans="1:13" ht="17.25" customHeight="1">
      <c r="A318" s="19">
        <v>76</v>
      </c>
      <c r="B318" s="5" t="s">
        <v>69</v>
      </c>
      <c r="C318" s="5" t="s">
        <v>228</v>
      </c>
      <c r="D318" s="5" t="s">
        <v>210</v>
      </c>
      <c r="E318" s="11">
        <v>28</v>
      </c>
      <c r="F318" s="12" t="s">
        <v>570</v>
      </c>
      <c r="G318" s="11">
        <v>3</v>
      </c>
      <c r="H318" s="11"/>
      <c r="I318" s="6" t="str">
        <f t="shared" si="4"/>
        <v>yokkkk</v>
      </c>
      <c r="J318" s="21"/>
      <c r="K318" s="22"/>
      <c r="L318" s="21"/>
      <c r="M318" s="21"/>
    </row>
    <row r="319" spans="1:13" ht="17.25" customHeight="1">
      <c r="A319" s="19">
        <v>76</v>
      </c>
      <c r="B319" s="5" t="s">
        <v>69</v>
      </c>
      <c r="C319" s="5" t="s">
        <v>228</v>
      </c>
      <c r="D319" s="5" t="s">
        <v>210</v>
      </c>
      <c r="E319" s="11">
        <v>55</v>
      </c>
      <c r="F319" s="12" t="s">
        <v>238</v>
      </c>
      <c r="G319" s="11">
        <v>2</v>
      </c>
      <c r="H319" s="11"/>
      <c r="I319" s="6" t="str">
        <f t="shared" si="4"/>
        <v>yokkkk</v>
      </c>
      <c r="J319" s="21"/>
      <c r="K319" s="22"/>
      <c r="L319" s="21"/>
      <c r="M319" s="21"/>
    </row>
    <row r="320" spans="1:13" ht="17.25" customHeight="1">
      <c r="A320" s="19">
        <v>76</v>
      </c>
      <c r="B320" s="5" t="s">
        <v>69</v>
      </c>
      <c r="C320" s="5" t="s">
        <v>228</v>
      </c>
      <c r="D320" s="5" t="s">
        <v>210</v>
      </c>
      <c r="E320" s="11">
        <v>92</v>
      </c>
      <c r="F320" s="12" t="s">
        <v>531</v>
      </c>
      <c r="G320" s="11">
        <v>1</v>
      </c>
      <c r="H320" s="11"/>
      <c r="I320" s="6" t="str">
        <f t="shared" si="4"/>
        <v>yokkkk</v>
      </c>
      <c r="J320" s="21"/>
      <c r="K320" s="22"/>
      <c r="L320" s="21"/>
      <c r="M320" s="21"/>
    </row>
    <row r="321" spans="1:13" ht="17.25" customHeight="1">
      <c r="A321" s="19">
        <v>124</v>
      </c>
      <c r="B321" s="5" t="s">
        <v>104</v>
      </c>
      <c r="C321" s="5" t="s">
        <v>15</v>
      </c>
      <c r="D321" s="5" t="s">
        <v>769</v>
      </c>
      <c r="E321" s="11">
        <v>22</v>
      </c>
      <c r="F321" s="12" t="s">
        <v>956</v>
      </c>
      <c r="G321" s="11">
        <v>2</v>
      </c>
      <c r="H321" s="11"/>
      <c r="I321" s="6" t="str">
        <f t="shared" si="4"/>
        <v>yokkkk</v>
      </c>
      <c r="J321" s="21"/>
      <c r="K321" s="22"/>
      <c r="L321" s="21"/>
      <c r="M321" s="21"/>
    </row>
    <row r="322" spans="1:13" ht="39.75" customHeight="1">
      <c r="A322" s="23">
        <v>124</v>
      </c>
      <c r="B322" s="24" t="s">
        <v>104</v>
      </c>
      <c r="C322" s="24" t="s">
        <v>15</v>
      </c>
      <c r="D322" s="24" t="s">
        <v>769</v>
      </c>
      <c r="E322" s="23">
        <v>53</v>
      </c>
      <c r="F322" s="24" t="s">
        <v>562</v>
      </c>
      <c r="G322" s="23">
        <v>1</v>
      </c>
      <c r="H322" s="25" t="s">
        <v>964</v>
      </c>
      <c r="I322" s="6" t="str">
        <f t="shared" si="4"/>
        <v>yokkkk</v>
      </c>
      <c r="J322" s="21"/>
      <c r="K322" s="22"/>
      <c r="L322" s="21"/>
      <c r="M322" s="21"/>
    </row>
    <row r="323" spans="1:13" ht="17.25" customHeight="1">
      <c r="A323" s="19">
        <v>68</v>
      </c>
      <c r="B323" s="5" t="s">
        <v>65</v>
      </c>
      <c r="C323" s="5" t="s">
        <v>699</v>
      </c>
      <c r="D323" s="5" t="s">
        <v>700</v>
      </c>
      <c r="E323" s="11">
        <v>10</v>
      </c>
      <c r="F323" s="12" t="s">
        <v>538</v>
      </c>
      <c r="G323" s="11">
        <v>3</v>
      </c>
      <c r="H323" s="11"/>
      <c r="I323" s="6" t="str">
        <f t="shared" ref="I323:I386" si="5">IF(COUNTIF(J:J,A323)," var","yokkkk")</f>
        <v>yokkkk</v>
      </c>
      <c r="J323" s="21"/>
      <c r="K323" s="22"/>
      <c r="L323" s="21"/>
      <c r="M323" s="21"/>
    </row>
    <row r="324" spans="1:13" ht="17.25" customHeight="1">
      <c r="A324" s="19">
        <v>68</v>
      </c>
      <c r="B324" s="5" t="s">
        <v>65</v>
      </c>
      <c r="C324" s="5" t="s">
        <v>699</v>
      </c>
      <c r="D324" s="5" t="s">
        <v>700</v>
      </c>
      <c r="E324" s="11">
        <v>11</v>
      </c>
      <c r="F324" s="12" t="s">
        <v>539</v>
      </c>
      <c r="G324" s="11">
        <v>2</v>
      </c>
      <c r="H324" s="11"/>
      <c r="I324" s="6" t="str">
        <f t="shared" si="5"/>
        <v>yokkkk</v>
      </c>
      <c r="J324" s="21"/>
      <c r="K324" s="22"/>
      <c r="L324" s="21"/>
      <c r="M324" s="21"/>
    </row>
    <row r="325" spans="1:13" ht="17.25" customHeight="1">
      <c r="A325" s="19">
        <v>68</v>
      </c>
      <c r="B325" s="5" t="s">
        <v>65</v>
      </c>
      <c r="C325" s="5" t="s">
        <v>699</v>
      </c>
      <c r="D325" s="5" t="s">
        <v>700</v>
      </c>
      <c r="E325" s="11">
        <v>33</v>
      </c>
      <c r="F325" s="12" t="s">
        <v>5</v>
      </c>
      <c r="G325" s="11">
        <v>1</v>
      </c>
      <c r="H325" s="11"/>
      <c r="I325" s="6" t="str">
        <f t="shared" si="5"/>
        <v>yokkkk</v>
      </c>
      <c r="J325" s="21"/>
      <c r="K325" s="22"/>
      <c r="L325" s="21"/>
      <c r="M325" s="21"/>
    </row>
    <row r="326" spans="1:13" ht="17.25" customHeight="1">
      <c r="A326" s="19">
        <v>68</v>
      </c>
      <c r="B326" s="5" t="s">
        <v>65</v>
      </c>
      <c r="C326" s="5" t="s">
        <v>699</v>
      </c>
      <c r="D326" s="5" t="s">
        <v>700</v>
      </c>
      <c r="E326" s="11">
        <v>53</v>
      </c>
      <c r="F326" s="12" t="s">
        <v>562</v>
      </c>
      <c r="G326" s="11">
        <v>5</v>
      </c>
      <c r="H326" s="11"/>
      <c r="I326" s="6" t="str">
        <f t="shared" si="5"/>
        <v>yokkkk</v>
      </c>
      <c r="J326" s="21"/>
      <c r="K326" s="22"/>
      <c r="L326" s="21"/>
      <c r="M326" s="21"/>
    </row>
    <row r="327" spans="1:13" ht="17.25" customHeight="1">
      <c r="A327" s="19">
        <v>68</v>
      </c>
      <c r="B327" s="5" t="s">
        <v>65</v>
      </c>
      <c r="C327" s="5" t="s">
        <v>699</v>
      </c>
      <c r="D327" s="5" t="s">
        <v>700</v>
      </c>
      <c r="E327" s="11">
        <v>61</v>
      </c>
      <c r="F327" s="12" t="s">
        <v>576</v>
      </c>
      <c r="G327" s="11">
        <v>4</v>
      </c>
      <c r="H327" s="11"/>
      <c r="I327" s="6" t="str">
        <f t="shared" si="5"/>
        <v>yokkkk</v>
      </c>
      <c r="J327" s="21"/>
      <c r="K327" s="22"/>
      <c r="L327" s="21"/>
      <c r="M327" s="21"/>
    </row>
    <row r="328" spans="1:13" ht="17.25" customHeight="1">
      <c r="A328" s="19">
        <v>291</v>
      </c>
      <c r="B328" s="5" t="s">
        <v>143</v>
      </c>
      <c r="C328" s="5" t="s">
        <v>960</v>
      </c>
      <c r="D328" s="5" t="s">
        <v>243</v>
      </c>
      <c r="E328" s="11">
        <v>49</v>
      </c>
      <c r="F328" s="12" t="s">
        <v>6</v>
      </c>
      <c r="G328" s="11">
        <v>1</v>
      </c>
      <c r="H328" s="11"/>
      <c r="I328" s="6" t="str">
        <f t="shared" si="5"/>
        <v>yokkkk</v>
      </c>
      <c r="J328" s="21"/>
      <c r="K328" s="22"/>
      <c r="L328" s="21"/>
      <c r="M328" s="21"/>
    </row>
    <row r="329" spans="1:13" ht="17.25" customHeight="1">
      <c r="A329" s="19">
        <v>291</v>
      </c>
      <c r="B329" s="5" t="s">
        <v>143</v>
      </c>
      <c r="C329" s="5" t="s">
        <v>960</v>
      </c>
      <c r="D329" s="5" t="s">
        <v>243</v>
      </c>
      <c r="E329" s="11">
        <v>50</v>
      </c>
      <c r="F329" s="12" t="s">
        <v>559</v>
      </c>
      <c r="G329" s="11">
        <v>2</v>
      </c>
      <c r="H329" s="11"/>
      <c r="I329" s="6" t="str">
        <f t="shared" si="5"/>
        <v>yokkkk</v>
      </c>
      <c r="J329" s="21"/>
      <c r="K329" s="22"/>
      <c r="L329" s="21"/>
      <c r="M329" s="21"/>
    </row>
    <row r="330" spans="1:13" ht="17.25" customHeight="1">
      <c r="A330" s="19">
        <v>291</v>
      </c>
      <c r="B330" s="5" t="s">
        <v>143</v>
      </c>
      <c r="C330" s="5" t="s">
        <v>960</v>
      </c>
      <c r="D330" s="5" t="s">
        <v>243</v>
      </c>
      <c r="E330" s="11">
        <v>51</v>
      </c>
      <c r="F330" s="12" t="s">
        <v>560</v>
      </c>
      <c r="G330" s="11">
        <v>3</v>
      </c>
      <c r="H330" s="11"/>
      <c r="I330" s="6" t="str">
        <f t="shared" si="5"/>
        <v>yokkkk</v>
      </c>
      <c r="J330" s="21"/>
      <c r="K330" s="22"/>
      <c r="L330" s="21"/>
      <c r="M330" s="21"/>
    </row>
    <row r="331" spans="1:13" ht="17.25" customHeight="1">
      <c r="A331" s="19">
        <v>291</v>
      </c>
      <c r="B331" s="5" t="s">
        <v>143</v>
      </c>
      <c r="C331" s="5" t="s">
        <v>960</v>
      </c>
      <c r="D331" s="5" t="s">
        <v>243</v>
      </c>
      <c r="E331" s="11">
        <v>90</v>
      </c>
      <c r="F331" s="12" t="s">
        <v>937</v>
      </c>
      <c r="G331" s="11">
        <v>4</v>
      </c>
      <c r="H331" s="11"/>
      <c r="I331" s="6" t="str">
        <f t="shared" si="5"/>
        <v>yokkkk</v>
      </c>
      <c r="J331" s="21"/>
      <c r="K331" s="22"/>
      <c r="L331" s="21"/>
      <c r="M331" s="21"/>
    </row>
    <row r="332" spans="1:13" ht="17.25" customHeight="1">
      <c r="A332" s="19">
        <v>291</v>
      </c>
      <c r="B332" s="5" t="s">
        <v>143</v>
      </c>
      <c r="C332" s="5" t="s">
        <v>960</v>
      </c>
      <c r="D332" s="5" t="s">
        <v>243</v>
      </c>
      <c r="E332" s="11">
        <v>97</v>
      </c>
      <c r="F332" s="12" t="s">
        <v>939</v>
      </c>
      <c r="G332" s="11">
        <v>5</v>
      </c>
      <c r="H332" s="11"/>
      <c r="I332" s="6" t="str">
        <f t="shared" si="5"/>
        <v>yokkkk</v>
      </c>
      <c r="J332" s="21"/>
      <c r="K332" s="22"/>
      <c r="L332" s="21"/>
      <c r="M332" s="21"/>
    </row>
    <row r="333" spans="1:13" ht="17.25" customHeight="1">
      <c r="A333" s="19">
        <v>152</v>
      </c>
      <c r="B333" s="5" t="s">
        <v>104</v>
      </c>
      <c r="C333" s="5" t="s">
        <v>320</v>
      </c>
      <c r="D333" s="5" t="s">
        <v>795</v>
      </c>
      <c r="E333" s="11">
        <v>45</v>
      </c>
      <c r="F333" s="12" t="s">
        <v>943</v>
      </c>
      <c r="G333" s="11">
        <v>5</v>
      </c>
      <c r="H333" s="11"/>
      <c r="I333" s="6" t="str">
        <f t="shared" si="5"/>
        <v>yokkkk</v>
      </c>
      <c r="J333" s="21"/>
      <c r="K333" s="22"/>
      <c r="L333" s="21"/>
      <c r="M333" s="21"/>
    </row>
    <row r="334" spans="1:13" ht="17.25" customHeight="1">
      <c r="A334" s="19">
        <v>152</v>
      </c>
      <c r="B334" s="5" t="s">
        <v>104</v>
      </c>
      <c r="C334" s="5" t="s">
        <v>320</v>
      </c>
      <c r="D334" s="5" t="s">
        <v>795</v>
      </c>
      <c r="E334" s="11">
        <v>46</v>
      </c>
      <c r="F334" s="12" t="s">
        <v>568</v>
      </c>
      <c r="G334" s="11">
        <v>4</v>
      </c>
      <c r="H334" s="11"/>
      <c r="I334" s="6" t="str">
        <f t="shared" si="5"/>
        <v>yokkkk</v>
      </c>
      <c r="J334" s="21"/>
      <c r="K334" s="22"/>
      <c r="L334" s="21"/>
      <c r="M334" s="21"/>
    </row>
    <row r="335" spans="1:13" ht="17.25" customHeight="1">
      <c r="A335" s="19">
        <v>152</v>
      </c>
      <c r="B335" s="5" t="s">
        <v>104</v>
      </c>
      <c r="C335" s="5" t="s">
        <v>320</v>
      </c>
      <c r="D335" s="5" t="s">
        <v>795</v>
      </c>
      <c r="E335" s="11">
        <v>64</v>
      </c>
      <c r="F335" s="12" t="s">
        <v>577</v>
      </c>
      <c r="G335" s="11">
        <v>1</v>
      </c>
      <c r="H335" s="11"/>
      <c r="I335" s="6" t="str">
        <f t="shared" si="5"/>
        <v>yokkkk</v>
      </c>
      <c r="J335" s="21"/>
      <c r="K335" s="22"/>
      <c r="L335" s="21"/>
      <c r="M335" s="21"/>
    </row>
    <row r="336" spans="1:13" ht="17.25" customHeight="1">
      <c r="A336" s="19">
        <v>152</v>
      </c>
      <c r="B336" s="5" t="s">
        <v>104</v>
      </c>
      <c r="C336" s="5" t="s">
        <v>320</v>
      </c>
      <c r="D336" s="5" t="s">
        <v>795</v>
      </c>
      <c r="E336" s="11">
        <v>65</v>
      </c>
      <c r="F336" s="12" t="s">
        <v>578</v>
      </c>
      <c r="G336" s="11">
        <v>2</v>
      </c>
      <c r="H336" s="11"/>
      <c r="I336" s="6" t="str">
        <f t="shared" si="5"/>
        <v>yokkkk</v>
      </c>
      <c r="J336" s="21"/>
      <c r="K336" s="22"/>
      <c r="L336" s="21"/>
      <c r="M336" s="21"/>
    </row>
    <row r="337" spans="1:13" ht="17.25" customHeight="1">
      <c r="A337" s="19">
        <v>152</v>
      </c>
      <c r="B337" s="5" t="s">
        <v>104</v>
      </c>
      <c r="C337" s="5" t="s">
        <v>320</v>
      </c>
      <c r="D337" s="5" t="s">
        <v>795</v>
      </c>
      <c r="E337" s="11">
        <v>97</v>
      </c>
      <c r="F337" s="12" t="s">
        <v>939</v>
      </c>
      <c r="G337" s="11">
        <v>3</v>
      </c>
      <c r="H337" s="11"/>
      <c r="I337" s="6" t="str">
        <f t="shared" si="5"/>
        <v>yokkkk</v>
      </c>
      <c r="J337" s="21"/>
      <c r="K337" s="22"/>
      <c r="L337" s="21"/>
      <c r="M337" s="21"/>
    </row>
    <row r="338" spans="1:13" ht="17.25" customHeight="1">
      <c r="A338" s="19">
        <v>99</v>
      </c>
      <c r="B338" s="5" t="s">
        <v>91</v>
      </c>
      <c r="C338" s="5" t="s">
        <v>108</v>
      </c>
      <c r="D338" s="5" t="s">
        <v>277</v>
      </c>
      <c r="E338" s="11">
        <v>23</v>
      </c>
      <c r="F338" s="12" t="s">
        <v>7</v>
      </c>
      <c r="G338" s="11">
        <v>1</v>
      </c>
      <c r="H338" s="11"/>
      <c r="I338" s="6" t="str">
        <f t="shared" si="5"/>
        <v>yokkkk</v>
      </c>
      <c r="J338" s="21"/>
      <c r="K338" s="22"/>
      <c r="L338" s="21"/>
      <c r="M338" s="21"/>
    </row>
    <row r="339" spans="1:13" ht="17.25" customHeight="1">
      <c r="A339" s="19">
        <v>99</v>
      </c>
      <c r="B339" s="5" t="s">
        <v>91</v>
      </c>
      <c r="C339" s="5" t="s">
        <v>108</v>
      </c>
      <c r="D339" s="5" t="s">
        <v>277</v>
      </c>
      <c r="E339" s="11">
        <v>26</v>
      </c>
      <c r="F339" s="12" t="s">
        <v>947</v>
      </c>
      <c r="G339" s="11">
        <v>2</v>
      </c>
      <c r="H339" s="11"/>
      <c r="I339" s="6" t="str">
        <f t="shared" si="5"/>
        <v>yokkkk</v>
      </c>
      <c r="J339" s="21"/>
      <c r="K339" s="22"/>
      <c r="L339" s="21"/>
      <c r="M339" s="21"/>
    </row>
    <row r="340" spans="1:13" ht="17.25" customHeight="1">
      <c r="A340" s="19">
        <v>99</v>
      </c>
      <c r="B340" s="5" t="s">
        <v>91</v>
      </c>
      <c r="C340" s="5" t="s">
        <v>108</v>
      </c>
      <c r="D340" s="5" t="s">
        <v>277</v>
      </c>
      <c r="E340" s="11">
        <v>31</v>
      </c>
      <c r="F340" s="12" t="s">
        <v>946</v>
      </c>
      <c r="G340" s="11">
        <v>5</v>
      </c>
      <c r="H340" s="11"/>
      <c r="I340" s="6" t="str">
        <f t="shared" si="5"/>
        <v>yokkkk</v>
      </c>
      <c r="J340" s="21"/>
      <c r="K340" s="22"/>
      <c r="L340" s="21"/>
      <c r="M340" s="21"/>
    </row>
    <row r="341" spans="1:13" ht="17.25" customHeight="1">
      <c r="A341" s="19">
        <v>99</v>
      </c>
      <c r="B341" s="5" t="s">
        <v>91</v>
      </c>
      <c r="C341" s="5" t="s">
        <v>108</v>
      </c>
      <c r="D341" s="5" t="s">
        <v>277</v>
      </c>
      <c r="E341" s="11">
        <v>54</v>
      </c>
      <c r="F341" s="12" t="s">
        <v>533</v>
      </c>
      <c r="G341" s="11">
        <v>3</v>
      </c>
      <c r="H341" s="11"/>
      <c r="I341" s="6" t="str">
        <f t="shared" si="5"/>
        <v>yokkkk</v>
      </c>
      <c r="J341" s="21"/>
      <c r="K341" s="22"/>
      <c r="L341" s="21"/>
      <c r="M341" s="21"/>
    </row>
    <row r="342" spans="1:13" ht="17.25" customHeight="1">
      <c r="A342" s="19">
        <v>99</v>
      </c>
      <c r="B342" s="5" t="s">
        <v>91</v>
      </c>
      <c r="C342" s="5" t="s">
        <v>108</v>
      </c>
      <c r="D342" s="5" t="s">
        <v>277</v>
      </c>
      <c r="E342" s="11">
        <v>63</v>
      </c>
      <c r="F342" s="12" t="s">
        <v>579</v>
      </c>
      <c r="G342" s="11">
        <v>4</v>
      </c>
      <c r="H342" s="11"/>
      <c r="I342" s="6" t="str">
        <f t="shared" si="5"/>
        <v>yokkkk</v>
      </c>
      <c r="J342" s="21"/>
      <c r="K342" s="22"/>
      <c r="L342" s="21"/>
      <c r="M342" s="21"/>
    </row>
    <row r="343" spans="1:13" ht="17.25" customHeight="1">
      <c r="A343" s="19">
        <v>109</v>
      </c>
      <c r="B343" s="5" t="s">
        <v>95</v>
      </c>
      <c r="C343" s="5" t="s">
        <v>83</v>
      </c>
      <c r="D343" s="5" t="s">
        <v>282</v>
      </c>
      <c r="E343" s="11">
        <v>56</v>
      </c>
      <c r="F343" s="12" t="s">
        <v>948</v>
      </c>
      <c r="G343" s="11">
        <v>2</v>
      </c>
      <c r="H343" s="11"/>
      <c r="I343" s="6" t="str">
        <f t="shared" si="5"/>
        <v xml:space="preserve"> var</v>
      </c>
      <c r="J343" s="21"/>
      <c r="K343" s="22"/>
      <c r="L343" s="21"/>
      <c r="M343" s="21"/>
    </row>
    <row r="344" spans="1:13" ht="17.25" customHeight="1">
      <c r="A344" s="19">
        <v>109</v>
      </c>
      <c r="B344" s="5" t="s">
        <v>95</v>
      </c>
      <c r="C344" s="5" t="s">
        <v>83</v>
      </c>
      <c r="D344" s="5" t="s">
        <v>282</v>
      </c>
      <c r="E344" s="11">
        <v>67</v>
      </c>
      <c r="F344" s="12" t="s">
        <v>954</v>
      </c>
      <c r="G344" s="11">
        <v>1</v>
      </c>
      <c r="H344" s="11"/>
      <c r="I344" s="6" t="str">
        <f t="shared" si="5"/>
        <v xml:space="preserve"> var</v>
      </c>
      <c r="J344" s="21"/>
      <c r="K344" s="22"/>
      <c r="L344" s="21"/>
      <c r="M344" s="21"/>
    </row>
    <row r="345" spans="1:13" ht="17.25" customHeight="1">
      <c r="A345" s="19">
        <v>252</v>
      </c>
      <c r="B345" s="5" t="s">
        <v>154</v>
      </c>
      <c r="C345" s="5" t="s">
        <v>354</v>
      </c>
      <c r="D345" s="5" t="s">
        <v>99</v>
      </c>
      <c r="E345" s="11">
        <v>2</v>
      </c>
      <c r="F345" s="12" t="s">
        <v>529</v>
      </c>
      <c r="G345" s="11">
        <v>1</v>
      </c>
      <c r="H345" s="11"/>
      <c r="I345" s="6" t="str">
        <f t="shared" si="5"/>
        <v>yokkkk</v>
      </c>
      <c r="J345" s="21"/>
      <c r="K345" s="22"/>
      <c r="L345" s="21"/>
      <c r="M345" s="21"/>
    </row>
    <row r="346" spans="1:13" ht="17.25" customHeight="1">
      <c r="A346" s="19">
        <v>252</v>
      </c>
      <c r="B346" s="5" t="s">
        <v>154</v>
      </c>
      <c r="C346" s="5" t="s">
        <v>354</v>
      </c>
      <c r="D346" s="5" t="s">
        <v>99</v>
      </c>
      <c r="E346" s="11">
        <v>3</v>
      </c>
      <c r="F346" s="12" t="s">
        <v>525</v>
      </c>
      <c r="G346" s="11">
        <v>2</v>
      </c>
      <c r="H346" s="11"/>
      <c r="I346" s="6" t="str">
        <f t="shared" si="5"/>
        <v>yokkkk</v>
      </c>
      <c r="J346" s="21"/>
      <c r="K346" s="22"/>
      <c r="L346" s="21"/>
      <c r="M346" s="21"/>
    </row>
    <row r="347" spans="1:13" ht="17.25" customHeight="1">
      <c r="A347" s="19">
        <v>252</v>
      </c>
      <c r="B347" s="5" t="s">
        <v>154</v>
      </c>
      <c r="C347" s="5" t="s">
        <v>354</v>
      </c>
      <c r="D347" s="5" t="s">
        <v>99</v>
      </c>
      <c r="E347" s="11">
        <v>5</v>
      </c>
      <c r="F347" s="12" t="s">
        <v>532</v>
      </c>
      <c r="G347" s="11">
        <v>3</v>
      </c>
      <c r="H347" s="11"/>
      <c r="I347" s="6" t="str">
        <f t="shared" si="5"/>
        <v>yokkkk</v>
      </c>
      <c r="J347" s="21"/>
      <c r="K347" s="22"/>
      <c r="L347" s="21"/>
      <c r="M347" s="21"/>
    </row>
    <row r="348" spans="1:13" ht="17.25" customHeight="1">
      <c r="A348" s="19">
        <v>252</v>
      </c>
      <c r="B348" s="5" t="s">
        <v>154</v>
      </c>
      <c r="C348" s="5" t="s">
        <v>354</v>
      </c>
      <c r="D348" s="5" t="s">
        <v>99</v>
      </c>
      <c r="E348" s="11">
        <v>36</v>
      </c>
      <c r="F348" s="12" t="s">
        <v>557</v>
      </c>
      <c r="G348" s="11">
        <v>4</v>
      </c>
      <c r="H348" s="11"/>
      <c r="I348" s="6" t="str">
        <f t="shared" si="5"/>
        <v>yokkkk</v>
      </c>
      <c r="J348" s="21"/>
      <c r="K348" s="22"/>
      <c r="L348" s="21"/>
      <c r="M348" s="21"/>
    </row>
    <row r="349" spans="1:13" ht="17.25" customHeight="1">
      <c r="A349" s="19">
        <v>252</v>
      </c>
      <c r="B349" s="5" t="s">
        <v>154</v>
      </c>
      <c r="C349" s="5" t="s">
        <v>354</v>
      </c>
      <c r="D349" s="5" t="s">
        <v>99</v>
      </c>
      <c r="E349" s="11">
        <v>37</v>
      </c>
      <c r="F349" s="12" t="s">
        <v>558</v>
      </c>
      <c r="G349" s="11">
        <v>5</v>
      </c>
      <c r="H349" s="11"/>
      <c r="I349" s="6" t="str">
        <f t="shared" si="5"/>
        <v>yokkkk</v>
      </c>
      <c r="J349" s="21"/>
      <c r="K349" s="22"/>
      <c r="L349" s="21"/>
      <c r="M349" s="21"/>
    </row>
    <row r="350" spans="1:13" ht="17.25" customHeight="1">
      <c r="A350" s="19">
        <v>198</v>
      </c>
      <c r="B350" s="5" t="s">
        <v>133</v>
      </c>
      <c r="C350" s="5" t="s">
        <v>321</v>
      </c>
      <c r="D350" s="5" t="s">
        <v>322</v>
      </c>
      <c r="E350" s="11">
        <v>2</v>
      </c>
      <c r="F350" s="12" t="s">
        <v>529</v>
      </c>
      <c r="G350" s="11">
        <v>5</v>
      </c>
      <c r="H350" s="11"/>
      <c r="I350" s="6" t="str">
        <f t="shared" si="5"/>
        <v>yokkkk</v>
      </c>
      <c r="J350" s="21"/>
      <c r="K350" s="22"/>
      <c r="L350" s="21"/>
      <c r="M350" s="21"/>
    </row>
    <row r="351" spans="1:13" ht="17.25" customHeight="1">
      <c r="A351" s="19">
        <v>198</v>
      </c>
      <c r="B351" s="5" t="s">
        <v>133</v>
      </c>
      <c r="C351" s="5" t="s">
        <v>321</v>
      </c>
      <c r="D351" s="5" t="s">
        <v>322</v>
      </c>
      <c r="E351" s="11">
        <v>18</v>
      </c>
      <c r="F351" s="12" t="s">
        <v>9</v>
      </c>
      <c r="G351" s="11">
        <v>4</v>
      </c>
      <c r="H351" s="11"/>
      <c r="I351" s="6" t="str">
        <f t="shared" si="5"/>
        <v>yokkkk</v>
      </c>
      <c r="J351" s="21"/>
      <c r="K351" s="22"/>
      <c r="L351" s="21"/>
      <c r="M351" s="21"/>
    </row>
    <row r="352" spans="1:13" ht="17.25" customHeight="1">
      <c r="A352" s="19">
        <v>198</v>
      </c>
      <c r="B352" s="5" t="s">
        <v>133</v>
      </c>
      <c r="C352" s="5" t="s">
        <v>321</v>
      </c>
      <c r="D352" s="5" t="s">
        <v>322</v>
      </c>
      <c r="E352" s="11">
        <v>27</v>
      </c>
      <c r="F352" s="12" t="s">
        <v>569</v>
      </c>
      <c r="G352" s="11">
        <v>1</v>
      </c>
      <c r="H352" s="11"/>
      <c r="I352" s="6" t="str">
        <f t="shared" si="5"/>
        <v>yokkkk</v>
      </c>
      <c r="J352" s="21"/>
      <c r="K352" s="22"/>
      <c r="L352" s="21"/>
      <c r="M352" s="21"/>
    </row>
    <row r="353" spans="1:13" ht="17.25" customHeight="1">
      <c r="A353" s="19">
        <v>198</v>
      </c>
      <c r="B353" s="5" t="s">
        <v>133</v>
      </c>
      <c r="C353" s="5" t="s">
        <v>321</v>
      </c>
      <c r="D353" s="5" t="s">
        <v>322</v>
      </c>
      <c r="E353" s="11">
        <v>64</v>
      </c>
      <c r="F353" s="12" t="s">
        <v>577</v>
      </c>
      <c r="G353" s="11">
        <v>2</v>
      </c>
      <c r="H353" s="11"/>
      <c r="I353" s="6" t="str">
        <f t="shared" si="5"/>
        <v>yokkkk</v>
      </c>
      <c r="J353" s="21"/>
      <c r="K353" s="22"/>
      <c r="L353" s="21"/>
      <c r="M353" s="21"/>
    </row>
    <row r="354" spans="1:13" ht="17.25" customHeight="1">
      <c r="A354" s="19">
        <v>198</v>
      </c>
      <c r="B354" s="5" t="s">
        <v>133</v>
      </c>
      <c r="C354" s="5" t="s">
        <v>321</v>
      </c>
      <c r="D354" s="5" t="s">
        <v>322</v>
      </c>
      <c r="E354" s="11">
        <v>78</v>
      </c>
      <c r="F354" s="12" t="s">
        <v>574</v>
      </c>
      <c r="G354" s="11">
        <v>3</v>
      </c>
      <c r="H354" s="11"/>
      <c r="I354" s="6" t="str">
        <f t="shared" si="5"/>
        <v>yokkkk</v>
      </c>
      <c r="J354" s="21"/>
      <c r="K354" s="22"/>
      <c r="L354" s="21"/>
      <c r="M354" s="21"/>
    </row>
    <row r="355" spans="1:13" ht="17.25" customHeight="1">
      <c r="A355" s="19">
        <v>271</v>
      </c>
      <c r="B355" s="5" t="s">
        <v>162</v>
      </c>
      <c r="C355" s="5" t="s">
        <v>365</v>
      </c>
      <c r="D355" s="5" t="s">
        <v>100</v>
      </c>
      <c r="E355" s="11">
        <v>26</v>
      </c>
      <c r="F355" s="12" t="s">
        <v>947</v>
      </c>
      <c r="G355" s="11">
        <v>2</v>
      </c>
      <c r="H355" s="11"/>
      <c r="I355" s="6" t="str">
        <f t="shared" si="5"/>
        <v>yokkkk</v>
      </c>
      <c r="J355" s="21"/>
      <c r="K355" s="22"/>
      <c r="L355" s="21"/>
      <c r="M355" s="21"/>
    </row>
    <row r="356" spans="1:13" ht="17.25" customHeight="1">
      <c r="A356" s="19">
        <v>271</v>
      </c>
      <c r="B356" s="5" t="s">
        <v>162</v>
      </c>
      <c r="C356" s="5" t="s">
        <v>365</v>
      </c>
      <c r="D356" s="5" t="s">
        <v>100</v>
      </c>
      <c r="E356" s="11">
        <v>46</v>
      </c>
      <c r="F356" s="12" t="s">
        <v>568</v>
      </c>
      <c r="G356" s="11">
        <v>3</v>
      </c>
      <c r="H356" s="11"/>
      <c r="I356" s="6" t="str">
        <f t="shared" si="5"/>
        <v>yokkkk</v>
      </c>
      <c r="J356" s="21"/>
      <c r="K356" s="22"/>
      <c r="L356" s="21"/>
      <c r="M356" s="21"/>
    </row>
    <row r="357" spans="1:13" ht="17.25" customHeight="1">
      <c r="A357" s="19">
        <v>271</v>
      </c>
      <c r="B357" s="5" t="s">
        <v>162</v>
      </c>
      <c r="C357" s="5" t="s">
        <v>365</v>
      </c>
      <c r="D357" s="5" t="s">
        <v>100</v>
      </c>
      <c r="E357" s="11">
        <v>49</v>
      </c>
      <c r="F357" s="12" t="s">
        <v>6</v>
      </c>
      <c r="G357" s="11">
        <v>1</v>
      </c>
      <c r="H357" s="11"/>
      <c r="I357" s="6" t="str">
        <f t="shared" si="5"/>
        <v>yokkkk</v>
      </c>
      <c r="J357" s="21"/>
      <c r="K357" s="22"/>
      <c r="L357" s="21"/>
      <c r="M357" s="21"/>
    </row>
    <row r="358" spans="1:13" ht="17.25" customHeight="1">
      <c r="A358" s="19">
        <v>271</v>
      </c>
      <c r="B358" s="5" t="s">
        <v>162</v>
      </c>
      <c r="C358" s="5" t="s">
        <v>365</v>
      </c>
      <c r="D358" s="5" t="s">
        <v>100</v>
      </c>
      <c r="E358" s="11">
        <v>55</v>
      </c>
      <c r="F358" s="12" t="s">
        <v>238</v>
      </c>
      <c r="G358" s="11">
        <v>4</v>
      </c>
      <c r="H358" s="11"/>
      <c r="I358" s="6" t="str">
        <f t="shared" si="5"/>
        <v>yokkkk</v>
      </c>
      <c r="J358" s="21"/>
      <c r="K358" s="22"/>
      <c r="L358" s="21"/>
      <c r="M358" s="21"/>
    </row>
    <row r="359" spans="1:13" ht="17.25" customHeight="1">
      <c r="A359" s="19">
        <v>271</v>
      </c>
      <c r="B359" s="5" t="s">
        <v>162</v>
      </c>
      <c r="C359" s="5" t="s">
        <v>365</v>
      </c>
      <c r="D359" s="5" t="s">
        <v>100</v>
      </c>
      <c r="E359" s="11">
        <v>76</v>
      </c>
      <c r="F359" s="12" t="s">
        <v>4</v>
      </c>
      <c r="G359" s="11">
        <v>5</v>
      </c>
      <c r="H359" s="11"/>
      <c r="I359" s="6" t="str">
        <f t="shared" si="5"/>
        <v>yokkkk</v>
      </c>
      <c r="J359" s="21"/>
      <c r="K359" s="22"/>
      <c r="L359" s="21"/>
      <c r="M359" s="21"/>
    </row>
    <row r="360" spans="1:13" ht="17.25" customHeight="1">
      <c r="A360" s="19">
        <v>122</v>
      </c>
      <c r="B360" s="5" t="s">
        <v>104</v>
      </c>
      <c r="C360" s="5" t="s">
        <v>766</v>
      </c>
      <c r="D360" s="5" t="s">
        <v>767</v>
      </c>
      <c r="E360" s="11">
        <v>18</v>
      </c>
      <c r="F360" s="12" t="s">
        <v>9</v>
      </c>
      <c r="G360" s="11">
        <v>3</v>
      </c>
      <c r="H360" s="11"/>
      <c r="I360" s="6" t="str">
        <f t="shared" si="5"/>
        <v>yokkkk</v>
      </c>
      <c r="J360" s="21"/>
      <c r="K360" s="22"/>
      <c r="L360" s="21"/>
      <c r="M360" s="21"/>
    </row>
    <row r="361" spans="1:13" ht="17.25" customHeight="1">
      <c r="A361" s="19">
        <v>122</v>
      </c>
      <c r="B361" s="5" t="s">
        <v>104</v>
      </c>
      <c r="C361" s="5" t="s">
        <v>766</v>
      </c>
      <c r="D361" s="5" t="s">
        <v>767</v>
      </c>
      <c r="E361" s="11">
        <v>43</v>
      </c>
      <c r="F361" s="12" t="s">
        <v>10</v>
      </c>
      <c r="G361" s="11">
        <v>2</v>
      </c>
      <c r="H361" s="11"/>
      <c r="I361" s="6" t="str">
        <f t="shared" si="5"/>
        <v>yokkkk</v>
      </c>
      <c r="J361" s="21"/>
      <c r="K361" s="22"/>
      <c r="L361" s="21"/>
      <c r="M361" s="21"/>
    </row>
    <row r="362" spans="1:13" ht="17.25" customHeight="1">
      <c r="A362" s="19">
        <v>122</v>
      </c>
      <c r="B362" s="5" t="s">
        <v>104</v>
      </c>
      <c r="C362" s="5" t="s">
        <v>766</v>
      </c>
      <c r="D362" s="5" t="s">
        <v>767</v>
      </c>
      <c r="E362" s="11">
        <v>47</v>
      </c>
      <c r="F362" s="12" t="s">
        <v>944</v>
      </c>
      <c r="G362" s="11">
        <v>1</v>
      </c>
      <c r="H362" s="11"/>
      <c r="I362" s="6" t="str">
        <f t="shared" si="5"/>
        <v>yokkkk</v>
      </c>
      <c r="J362" s="21"/>
      <c r="K362" s="22"/>
      <c r="L362" s="21"/>
      <c r="M362" s="21"/>
    </row>
    <row r="363" spans="1:13" ht="17.25" customHeight="1">
      <c r="A363" s="19">
        <v>122</v>
      </c>
      <c r="B363" s="5" t="s">
        <v>104</v>
      </c>
      <c r="C363" s="5" t="s">
        <v>766</v>
      </c>
      <c r="D363" s="5" t="s">
        <v>767</v>
      </c>
      <c r="E363" s="11">
        <v>48</v>
      </c>
      <c r="F363" s="12" t="s">
        <v>957</v>
      </c>
      <c r="G363" s="11">
        <v>5</v>
      </c>
      <c r="H363" s="11"/>
      <c r="I363" s="6" t="str">
        <f t="shared" si="5"/>
        <v>yokkkk</v>
      </c>
      <c r="J363" s="21"/>
      <c r="K363" s="22"/>
      <c r="L363" s="21"/>
      <c r="M363" s="21"/>
    </row>
    <row r="364" spans="1:13" ht="17.25" customHeight="1">
      <c r="A364" s="19">
        <v>122</v>
      </c>
      <c r="B364" s="5" t="s">
        <v>104</v>
      </c>
      <c r="C364" s="5" t="s">
        <v>766</v>
      </c>
      <c r="D364" s="5" t="s">
        <v>767</v>
      </c>
      <c r="E364" s="11">
        <v>55</v>
      </c>
      <c r="F364" s="12" t="s">
        <v>238</v>
      </c>
      <c r="G364" s="11">
        <v>4</v>
      </c>
      <c r="H364" s="11"/>
      <c r="I364" s="6" t="str">
        <f t="shared" si="5"/>
        <v>yokkkk</v>
      </c>
      <c r="J364" s="21"/>
      <c r="K364" s="22"/>
      <c r="L364" s="21"/>
      <c r="M364" s="21"/>
    </row>
    <row r="365" spans="1:13" ht="17.25" customHeight="1">
      <c r="A365" s="19">
        <v>16</v>
      </c>
      <c r="B365" s="5" t="s">
        <v>30</v>
      </c>
      <c r="C365" s="5" t="s">
        <v>631</v>
      </c>
      <c r="D365" s="5" t="s">
        <v>120</v>
      </c>
      <c r="E365" s="11">
        <v>23</v>
      </c>
      <c r="F365" s="12" t="s">
        <v>7</v>
      </c>
      <c r="G365" s="11">
        <v>5</v>
      </c>
      <c r="H365" s="11"/>
      <c r="I365" s="6" t="str">
        <f t="shared" si="5"/>
        <v>yokkkk</v>
      </c>
      <c r="J365" s="21"/>
      <c r="K365" s="22"/>
      <c r="L365" s="21"/>
      <c r="M365" s="21"/>
    </row>
    <row r="366" spans="1:13" ht="17.25" customHeight="1">
      <c r="A366" s="19">
        <v>16</v>
      </c>
      <c r="B366" s="5" t="s">
        <v>30</v>
      </c>
      <c r="C366" s="5" t="s">
        <v>631</v>
      </c>
      <c r="D366" s="5" t="s">
        <v>120</v>
      </c>
      <c r="E366" s="11">
        <v>26</v>
      </c>
      <c r="F366" s="12" t="s">
        <v>947</v>
      </c>
      <c r="G366" s="11">
        <v>3</v>
      </c>
      <c r="H366" s="11"/>
      <c r="I366" s="6" t="str">
        <f t="shared" si="5"/>
        <v>yokkkk</v>
      </c>
      <c r="J366" s="21"/>
      <c r="K366" s="22"/>
      <c r="L366" s="21"/>
      <c r="M366" s="21"/>
    </row>
    <row r="367" spans="1:13" ht="17.25" customHeight="1">
      <c r="A367" s="19">
        <v>16</v>
      </c>
      <c r="B367" s="5" t="s">
        <v>30</v>
      </c>
      <c r="C367" s="5" t="s">
        <v>631</v>
      </c>
      <c r="D367" s="5" t="s">
        <v>120</v>
      </c>
      <c r="E367" s="11">
        <v>43</v>
      </c>
      <c r="F367" s="12" t="s">
        <v>10</v>
      </c>
      <c r="G367" s="11">
        <v>4</v>
      </c>
      <c r="H367" s="11"/>
      <c r="I367" s="6" t="str">
        <f t="shared" si="5"/>
        <v>yokkkk</v>
      </c>
      <c r="J367" s="21"/>
      <c r="K367" s="22"/>
      <c r="L367" s="21"/>
      <c r="M367" s="21"/>
    </row>
    <row r="368" spans="1:13" ht="17.25" customHeight="1">
      <c r="A368" s="19">
        <v>16</v>
      </c>
      <c r="B368" s="5" t="s">
        <v>30</v>
      </c>
      <c r="C368" s="5" t="s">
        <v>631</v>
      </c>
      <c r="D368" s="5" t="s">
        <v>120</v>
      </c>
      <c r="E368" s="11">
        <v>55</v>
      </c>
      <c r="F368" s="12" t="s">
        <v>238</v>
      </c>
      <c r="G368" s="11">
        <v>2</v>
      </c>
      <c r="H368" s="11"/>
      <c r="I368" s="6" t="str">
        <f t="shared" si="5"/>
        <v>yokkkk</v>
      </c>
      <c r="J368" s="21"/>
      <c r="K368" s="22"/>
      <c r="L368" s="21"/>
      <c r="M368" s="21"/>
    </row>
    <row r="369" spans="1:13" ht="17.25" customHeight="1">
      <c r="A369" s="19">
        <v>16</v>
      </c>
      <c r="B369" s="5" t="s">
        <v>30</v>
      </c>
      <c r="C369" s="5" t="s">
        <v>631</v>
      </c>
      <c r="D369" s="5" t="s">
        <v>120</v>
      </c>
      <c r="E369" s="11">
        <v>89</v>
      </c>
      <c r="F369" s="12" t="s">
        <v>2</v>
      </c>
      <c r="G369" s="11">
        <v>1</v>
      </c>
      <c r="H369" s="11"/>
      <c r="I369" s="6" t="str">
        <f t="shared" si="5"/>
        <v>yokkkk</v>
      </c>
      <c r="J369" s="21"/>
      <c r="K369" s="22"/>
      <c r="L369" s="21"/>
      <c r="M369" s="21"/>
    </row>
    <row r="370" spans="1:13" ht="17.25" customHeight="1">
      <c r="A370" s="19">
        <v>89</v>
      </c>
      <c r="B370" s="5" t="s">
        <v>82</v>
      </c>
      <c r="C370" s="5" t="s">
        <v>727</v>
      </c>
      <c r="D370" s="5" t="s">
        <v>728</v>
      </c>
      <c r="E370" s="11">
        <v>10</v>
      </c>
      <c r="F370" s="12" t="s">
        <v>538</v>
      </c>
      <c r="G370" s="11">
        <v>4</v>
      </c>
      <c r="H370" s="11"/>
      <c r="I370" s="6" t="str">
        <f t="shared" si="5"/>
        <v>yokkkk</v>
      </c>
      <c r="J370" s="21"/>
      <c r="K370" s="22"/>
      <c r="L370" s="21"/>
      <c r="M370" s="21"/>
    </row>
    <row r="371" spans="1:13" ht="17.25" customHeight="1">
      <c r="A371" s="19">
        <v>89</v>
      </c>
      <c r="B371" s="5" t="s">
        <v>82</v>
      </c>
      <c r="C371" s="5" t="s">
        <v>727</v>
      </c>
      <c r="D371" s="5" t="s">
        <v>728</v>
      </c>
      <c r="E371" s="11">
        <v>50</v>
      </c>
      <c r="F371" s="12" t="s">
        <v>559</v>
      </c>
      <c r="G371" s="11">
        <v>1</v>
      </c>
      <c r="H371" s="11"/>
      <c r="I371" s="6" t="str">
        <f t="shared" si="5"/>
        <v>yokkkk</v>
      </c>
      <c r="J371" s="21"/>
      <c r="K371" s="22"/>
      <c r="L371" s="21"/>
      <c r="M371" s="21"/>
    </row>
    <row r="372" spans="1:13" ht="17.25" customHeight="1">
      <c r="A372" s="19">
        <v>89</v>
      </c>
      <c r="B372" s="5" t="s">
        <v>82</v>
      </c>
      <c r="C372" s="5" t="s">
        <v>727</v>
      </c>
      <c r="D372" s="5" t="s">
        <v>728</v>
      </c>
      <c r="E372" s="11">
        <v>51</v>
      </c>
      <c r="F372" s="12" t="s">
        <v>560</v>
      </c>
      <c r="G372" s="11">
        <v>2</v>
      </c>
      <c r="H372" s="11"/>
      <c r="I372" s="6" t="str">
        <f t="shared" si="5"/>
        <v>yokkkk</v>
      </c>
      <c r="J372" s="21"/>
      <c r="K372" s="22"/>
      <c r="L372" s="21"/>
      <c r="M372" s="21"/>
    </row>
    <row r="373" spans="1:13" ht="17.25" customHeight="1">
      <c r="A373" s="19">
        <v>89</v>
      </c>
      <c r="B373" s="5" t="s">
        <v>82</v>
      </c>
      <c r="C373" s="5" t="s">
        <v>727</v>
      </c>
      <c r="D373" s="5" t="s">
        <v>728</v>
      </c>
      <c r="E373" s="11">
        <v>54</v>
      </c>
      <c r="F373" s="12" t="s">
        <v>533</v>
      </c>
      <c r="G373" s="11">
        <v>3</v>
      </c>
      <c r="H373" s="11"/>
      <c r="I373" s="6" t="str">
        <f t="shared" si="5"/>
        <v>yokkkk</v>
      </c>
      <c r="J373" s="21"/>
      <c r="K373" s="22"/>
      <c r="L373" s="21"/>
      <c r="M373" s="21"/>
    </row>
    <row r="374" spans="1:13" ht="17.25" customHeight="1">
      <c r="A374" s="19">
        <v>89</v>
      </c>
      <c r="B374" s="5" t="s">
        <v>82</v>
      </c>
      <c r="C374" s="5" t="s">
        <v>727</v>
      </c>
      <c r="D374" s="5" t="s">
        <v>728</v>
      </c>
      <c r="E374" s="11">
        <v>78</v>
      </c>
      <c r="F374" s="12" t="s">
        <v>574</v>
      </c>
      <c r="G374" s="11">
        <v>5</v>
      </c>
      <c r="H374" s="11"/>
      <c r="I374" s="6" t="str">
        <f t="shared" si="5"/>
        <v>yokkkk</v>
      </c>
      <c r="J374" s="21"/>
      <c r="K374" s="22"/>
      <c r="L374" s="21"/>
      <c r="M374" s="21"/>
    </row>
    <row r="375" spans="1:13" ht="17.25" customHeight="1">
      <c r="A375" s="19">
        <v>214</v>
      </c>
      <c r="B375" s="5" t="s">
        <v>138</v>
      </c>
      <c r="C375" s="5" t="s">
        <v>333</v>
      </c>
      <c r="D375" s="5" t="s">
        <v>334</v>
      </c>
      <c r="E375" s="11">
        <v>34</v>
      </c>
      <c r="F375" s="12" t="s">
        <v>8</v>
      </c>
      <c r="G375" s="11">
        <v>2</v>
      </c>
      <c r="H375" s="11"/>
      <c r="I375" s="6" t="str">
        <f t="shared" si="5"/>
        <v>yokkkk</v>
      </c>
      <c r="J375" s="21"/>
      <c r="K375" s="22"/>
      <c r="L375" s="21"/>
      <c r="M375" s="21"/>
    </row>
    <row r="376" spans="1:13" ht="17.25" customHeight="1">
      <c r="A376" s="19">
        <v>214</v>
      </c>
      <c r="B376" s="5" t="s">
        <v>138</v>
      </c>
      <c r="C376" s="5" t="s">
        <v>333</v>
      </c>
      <c r="D376" s="5" t="s">
        <v>334</v>
      </c>
      <c r="E376" s="11">
        <v>36</v>
      </c>
      <c r="F376" s="12" t="s">
        <v>557</v>
      </c>
      <c r="G376" s="11">
        <v>3</v>
      </c>
      <c r="H376" s="11"/>
      <c r="I376" s="6" t="str">
        <f t="shared" si="5"/>
        <v>yokkkk</v>
      </c>
      <c r="J376" s="21"/>
      <c r="K376" s="22"/>
      <c r="L376" s="21"/>
      <c r="M376" s="21"/>
    </row>
    <row r="377" spans="1:13" ht="17.25" customHeight="1">
      <c r="A377" s="19">
        <v>214</v>
      </c>
      <c r="B377" s="5" t="s">
        <v>138</v>
      </c>
      <c r="C377" s="5" t="s">
        <v>333</v>
      </c>
      <c r="D377" s="5" t="s">
        <v>334</v>
      </c>
      <c r="E377" s="11">
        <v>37</v>
      </c>
      <c r="F377" s="12" t="s">
        <v>558</v>
      </c>
      <c r="G377" s="11">
        <v>4</v>
      </c>
      <c r="H377" s="11"/>
      <c r="I377" s="6" t="str">
        <f t="shared" si="5"/>
        <v>yokkkk</v>
      </c>
      <c r="J377" s="21"/>
      <c r="K377" s="22"/>
      <c r="L377" s="21"/>
      <c r="M377" s="21"/>
    </row>
    <row r="378" spans="1:13" ht="17.25" customHeight="1">
      <c r="A378" s="19">
        <v>214</v>
      </c>
      <c r="B378" s="5" t="s">
        <v>138</v>
      </c>
      <c r="C378" s="5" t="s">
        <v>333</v>
      </c>
      <c r="D378" s="5" t="s">
        <v>334</v>
      </c>
      <c r="E378" s="11">
        <v>38</v>
      </c>
      <c r="F378" s="12" t="s">
        <v>534</v>
      </c>
      <c r="G378" s="11">
        <v>5</v>
      </c>
      <c r="H378" s="11"/>
      <c r="I378" s="6" t="str">
        <f t="shared" si="5"/>
        <v>yokkkk</v>
      </c>
      <c r="J378" s="21"/>
      <c r="K378" s="22"/>
      <c r="L378" s="21"/>
      <c r="M378" s="21"/>
    </row>
    <row r="379" spans="1:13" ht="17.25" customHeight="1">
      <c r="A379" s="19">
        <v>214</v>
      </c>
      <c r="B379" s="5" t="s">
        <v>138</v>
      </c>
      <c r="C379" s="5" t="s">
        <v>333</v>
      </c>
      <c r="D379" s="5" t="s">
        <v>334</v>
      </c>
      <c r="E379" s="11">
        <v>92</v>
      </c>
      <c r="F379" s="12" t="s">
        <v>531</v>
      </c>
      <c r="G379" s="11">
        <v>1</v>
      </c>
      <c r="H379" s="11"/>
      <c r="I379" s="6" t="str">
        <f t="shared" si="5"/>
        <v>yokkkk</v>
      </c>
      <c r="J379" s="21"/>
      <c r="K379" s="22"/>
      <c r="L379" s="21"/>
      <c r="M379" s="21"/>
    </row>
    <row r="380" spans="1:13" ht="17.25" customHeight="1">
      <c r="A380" s="19">
        <v>179</v>
      </c>
      <c r="B380" s="5" t="s">
        <v>116</v>
      </c>
      <c r="C380" s="5" t="s">
        <v>824</v>
      </c>
      <c r="D380" s="5" t="s">
        <v>825</v>
      </c>
      <c r="E380" s="11">
        <v>28</v>
      </c>
      <c r="F380" s="12" t="s">
        <v>570</v>
      </c>
      <c r="G380" s="11">
        <v>1</v>
      </c>
      <c r="H380" s="11"/>
      <c r="I380" s="6" t="str">
        <f t="shared" si="5"/>
        <v>yokkkk</v>
      </c>
      <c r="J380" s="21"/>
      <c r="K380" s="22"/>
      <c r="L380" s="21"/>
      <c r="M380" s="21"/>
    </row>
    <row r="381" spans="1:13" ht="17.25" customHeight="1">
      <c r="A381" s="19">
        <v>179</v>
      </c>
      <c r="B381" s="5" t="s">
        <v>116</v>
      </c>
      <c r="C381" s="5" t="s">
        <v>824</v>
      </c>
      <c r="D381" s="5" t="s">
        <v>825</v>
      </c>
      <c r="E381" s="11">
        <v>46</v>
      </c>
      <c r="F381" s="12" t="s">
        <v>568</v>
      </c>
      <c r="G381" s="11">
        <v>2</v>
      </c>
      <c r="H381" s="11"/>
      <c r="I381" s="6" t="str">
        <f t="shared" si="5"/>
        <v>yokkkk</v>
      </c>
      <c r="J381" s="21"/>
      <c r="K381" s="22"/>
      <c r="L381" s="21"/>
      <c r="M381" s="21"/>
    </row>
    <row r="382" spans="1:13" ht="17.25" customHeight="1">
      <c r="A382" s="19">
        <v>179</v>
      </c>
      <c r="B382" s="5" t="s">
        <v>116</v>
      </c>
      <c r="C382" s="5" t="s">
        <v>824</v>
      </c>
      <c r="D382" s="5" t="s">
        <v>825</v>
      </c>
      <c r="E382" s="11">
        <v>48</v>
      </c>
      <c r="F382" s="12" t="s">
        <v>957</v>
      </c>
      <c r="G382" s="11">
        <v>3</v>
      </c>
      <c r="H382" s="11"/>
      <c r="I382" s="6" t="str">
        <f t="shared" si="5"/>
        <v>yokkkk</v>
      </c>
      <c r="J382" s="21"/>
      <c r="K382" s="22"/>
      <c r="L382" s="21"/>
      <c r="M382" s="21"/>
    </row>
    <row r="383" spans="1:13" ht="17.25" customHeight="1">
      <c r="A383" s="19">
        <v>110</v>
      </c>
      <c r="B383" s="5" t="s">
        <v>95</v>
      </c>
      <c r="C383" s="5" t="s">
        <v>83</v>
      </c>
      <c r="D383" s="5" t="s">
        <v>283</v>
      </c>
      <c r="E383" s="11">
        <v>11</v>
      </c>
      <c r="F383" s="12" t="s">
        <v>539</v>
      </c>
      <c r="G383" s="11">
        <v>5</v>
      </c>
      <c r="H383" s="11"/>
      <c r="I383" s="6" t="str">
        <f t="shared" si="5"/>
        <v>yokkkk</v>
      </c>
      <c r="J383" s="21"/>
      <c r="K383" s="22"/>
      <c r="L383" s="21"/>
      <c r="M383" s="21"/>
    </row>
    <row r="384" spans="1:13" ht="17.25" customHeight="1">
      <c r="A384" s="19">
        <v>110</v>
      </c>
      <c r="B384" s="5" t="s">
        <v>95</v>
      </c>
      <c r="C384" s="5" t="s">
        <v>83</v>
      </c>
      <c r="D384" s="5" t="s">
        <v>283</v>
      </c>
      <c r="E384" s="11">
        <v>15</v>
      </c>
      <c r="F384" s="12" t="s">
        <v>543</v>
      </c>
      <c r="G384" s="11">
        <v>2</v>
      </c>
      <c r="H384" s="11"/>
      <c r="I384" s="6" t="str">
        <f t="shared" si="5"/>
        <v>yokkkk</v>
      </c>
      <c r="J384" s="21"/>
      <c r="K384" s="22"/>
      <c r="L384" s="21"/>
      <c r="M384" s="21"/>
    </row>
    <row r="385" spans="1:13" ht="17.25" customHeight="1">
      <c r="A385" s="19">
        <v>110</v>
      </c>
      <c r="B385" s="5" t="s">
        <v>95</v>
      </c>
      <c r="C385" s="5" t="s">
        <v>83</v>
      </c>
      <c r="D385" s="5" t="s">
        <v>283</v>
      </c>
      <c r="E385" s="11">
        <v>35</v>
      </c>
      <c r="F385" s="12" t="s">
        <v>556</v>
      </c>
      <c r="G385" s="11">
        <v>3</v>
      </c>
      <c r="H385" s="11"/>
      <c r="I385" s="6" t="str">
        <f t="shared" si="5"/>
        <v>yokkkk</v>
      </c>
      <c r="J385" s="21"/>
      <c r="K385" s="22"/>
      <c r="L385" s="21"/>
      <c r="M385" s="21"/>
    </row>
    <row r="386" spans="1:13" ht="17.25" customHeight="1">
      <c r="A386" s="19">
        <v>110</v>
      </c>
      <c r="B386" s="5" t="s">
        <v>95</v>
      </c>
      <c r="C386" s="5" t="s">
        <v>83</v>
      </c>
      <c r="D386" s="5" t="s">
        <v>283</v>
      </c>
      <c r="E386" s="11">
        <v>41</v>
      </c>
      <c r="F386" s="12" t="s">
        <v>527</v>
      </c>
      <c r="G386" s="11">
        <v>4</v>
      </c>
      <c r="H386" s="11"/>
      <c r="I386" s="6" t="str">
        <f t="shared" si="5"/>
        <v>yokkkk</v>
      </c>
      <c r="J386" s="21"/>
      <c r="K386" s="22"/>
      <c r="L386" s="21"/>
      <c r="M386" s="21"/>
    </row>
    <row r="387" spans="1:13" ht="17.25" customHeight="1">
      <c r="A387" s="19">
        <v>110</v>
      </c>
      <c r="B387" s="5" t="s">
        <v>95</v>
      </c>
      <c r="C387" s="5" t="s">
        <v>83</v>
      </c>
      <c r="D387" s="5" t="s">
        <v>283</v>
      </c>
      <c r="E387" s="11">
        <v>60</v>
      </c>
      <c r="F387" s="12" t="s">
        <v>555</v>
      </c>
      <c r="G387" s="11">
        <v>1</v>
      </c>
      <c r="H387" s="11"/>
      <c r="I387" s="6" t="str">
        <f t="shared" ref="I387:I450" si="6">IF(COUNTIF(J:J,A387)," var","yokkkk")</f>
        <v>yokkkk</v>
      </c>
      <c r="J387" s="21"/>
      <c r="K387" s="22"/>
      <c r="L387" s="21"/>
      <c r="M387" s="21"/>
    </row>
    <row r="388" spans="1:13" ht="17.25" customHeight="1">
      <c r="A388" s="19">
        <v>193</v>
      </c>
      <c r="B388" s="5" t="s">
        <v>130</v>
      </c>
      <c r="C388" s="5" t="s">
        <v>829</v>
      </c>
      <c r="D388" s="5" t="s">
        <v>100</v>
      </c>
      <c r="E388" s="11">
        <v>29</v>
      </c>
      <c r="F388" s="12" t="s">
        <v>571</v>
      </c>
      <c r="G388" s="11">
        <v>4</v>
      </c>
      <c r="H388" s="11"/>
      <c r="I388" s="6" t="str">
        <f t="shared" si="6"/>
        <v>yokkkk</v>
      </c>
      <c r="J388" s="21"/>
      <c r="K388" s="22"/>
      <c r="L388" s="21"/>
      <c r="M388" s="21"/>
    </row>
    <row r="389" spans="1:13" ht="17.25" customHeight="1">
      <c r="A389" s="19">
        <v>193</v>
      </c>
      <c r="B389" s="5" t="s">
        <v>130</v>
      </c>
      <c r="C389" s="5" t="s">
        <v>829</v>
      </c>
      <c r="D389" s="5" t="s">
        <v>100</v>
      </c>
      <c r="E389" s="11">
        <v>46</v>
      </c>
      <c r="F389" s="12" t="s">
        <v>568</v>
      </c>
      <c r="G389" s="11">
        <v>5</v>
      </c>
      <c r="H389" s="11"/>
      <c r="I389" s="6" t="str">
        <f t="shared" si="6"/>
        <v>yokkkk</v>
      </c>
      <c r="J389" s="21"/>
      <c r="K389" s="22"/>
      <c r="L389" s="21"/>
      <c r="M389" s="21"/>
    </row>
    <row r="390" spans="1:13" ht="17.25" customHeight="1">
      <c r="A390" s="19">
        <v>193</v>
      </c>
      <c r="B390" s="5" t="s">
        <v>130</v>
      </c>
      <c r="C390" s="5" t="s">
        <v>829</v>
      </c>
      <c r="D390" s="5" t="s">
        <v>100</v>
      </c>
      <c r="E390" s="11">
        <v>59</v>
      </c>
      <c r="F390" s="12" t="s">
        <v>554</v>
      </c>
      <c r="G390" s="11">
        <v>2</v>
      </c>
      <c r="H390" s="11"/>
      <c r="I390" s="6" t="str">
        <f t="shared" si="6"/>
        <v>yokkkk</v>
      </c>
      <c r="J390" s="21"/>
      <c r="K390" s="22"/>
      <c r="L390" s="21"/>
      <c r="M390" s="21"/>
    </row>
    <row r="391" spans="1:13" ht="17.25" customHeight="1">
      <c r="A391" s="19">
        <v>193</v>
      </c>
      <c r="B391" s="5" t="s">
        <v>130</v>
      </c>
      <c r="C391" s="5" t="s">
        <v>829</v>
      </c>
      <c r="D391" s="5" t="s">
        <v>100</v>
      </c>
      <c r="E391" s="11">
        <v>62</v>
      </c>
      <c r="F391" s="12" t="s">
        <v>949</v>
      </c>
      <c r="G391" s="11">
        <v>3</v>
      </c>
      <c r="H391" s="11"/>
      <c r="I391" s="6" t="str">
        <f t="shared" si="6"/>
        <v>yokkkk</v>
      </c>
      <c r="J391" s="21"/>
      <c r="K391" s="22"/>
      <c r="L391" s="21"/>
      <c r="M391" s="21"/>
    </row>
    <row r="392" spans="1:13" ht="17.25" customHeight="1">
      <c r="A392" s="19">
        <v>193</v>
      </c>
      <c r="B392" s="5" t="s">
        <v>130</v>
      </c>
      <c r="C392" s="5" t="s">
        <v>829</v>
      </c>
      <c r="D392" s="5" t="s">
        <v>100</v>
      </c>
      <c r="E392" s="11">
        <v>87</v>
      </c>
      <c r="F392" s="12" t="s">
        <v>566</v>
      </c>
      <c r="G392" s="11">
        <v>1</v>
      </c>
      <c r="H392" s="11"/>
      <c r="I392" s="6" t="str">
        <f t="shared" si="6"/>
        <v>yokkkk</v>
      </c>
      <c r="J392" s="21"/>
      <c r="K392" s="22"/>
      <c r="L392" s="21"/>
      <c r="M392" s="21"/>
    </row>
    <row r="393" spans="1:13" ht="17.25" customHeight="1">
      <c r="A393" s="19">
        <v>261</v>
      </c>
      <c r="B393" s="5" t="s">
        <v>159</v>
      </c>
      <c r="C393" s="5" t="s">
        <v>893</v>
      </c>
      <c r="D393" s="5" t="s">
        <v>16</v>
      </c>
      <c r="E393" s="11">
        <v>9</v>
      </c>
      <c r="F393" s="12" t="s">
        <v>537</v>
      </c>
      <c r="G393" s="11">
        <v>5</v>
      </c>
      <c r="H393" s="11"/>
      <c r="I393" s="6" t="str">
        <f t="shared" si="6"/>
        <v>yokkkk</v>
      </c>
      <c r="J393" s="21"/>
      <c r="K393" s="22"/>
      <c r="L393" s="21"/>
      <c r="M393" s="21"/>
    </row>
    <row r="394" spans="1:13" ht="17.25" customHeight="1">
      <c r="A394" s="19">
        <v>261</v>
      </c>
      <c r="B394" s="5" t="s">
        <v>159</v>
      </c>
      <c r="C394" s="5" t="s">
        <v>893</v>
      </c>
      <c r="D394" s="5" t="s">
        <v>16</v>
      </c>
      <c r="E394" s="11">
        <v>18</v>
      </c>
      <c r="F394" s="12" t="s">
        <v>9</v>
      </c>
      <c r="G394" s="11">
        <v>1</v>
      </c>
      <c r="H394" s="11"/>
      <c r="I394" s="6" t="str">
        <f t="shared" si="6"/>
        <v>yokkkk</v>
      </c>
      <c r="J394" s="21"/>
      <c r="K394" s="22"/>
      <c r="L394" s="21"/>
      <c r="M394" s="21"/>
    </row>
    <row r="395" spans="1:13" ht="17.25" customHeight="1">
      <c r="A395" s="19">
        <v>261</v>
      </c>
      <c r="B395" s="5" t="s">
        <v>159</v>
      </c>
      <c r="C395" s="5" t="s">
        <v>893</v>
      </c>
      <c r="D395" s="5" t="s">
        <v>16</v>
      </c>
      <c r="E395" s="11">
        <v>26</v>
      </c>
      <c r="F395" s="12" t="s">
        <v>947</v>
      </c>
      <c r="G395" s="11">
        <v>2</v>
      </c>
      <c r="H395" s="11"/>
      <c r="I395" s="6" t="str">
        <f t="shared" si="6"/>
        <v>yokkkk</v>
      </c>
      <c r="J395" s="21"/>
      <c r="K395" s="22"/>
      <c r="L395" s="21"/>
      <c r="M395" s="21"/>
    </row>
    <row r="396" spans="1:13" ht="17.25" customHeight="1">
      <c r="A396" s="19">
        <v>261</v>
      </c>
      <c r="B396" s="5" t="s">
        <v>159</v>
      </c>
      <c r="C396" s="5" t="s">
        <v>893</v>
      </c>
      <c r="D396" s="5" t="s">
        <v>16</v>
      </c>
      <c r="E396" s="11">
        <v>31</v>
      </c>
      <c r="F396" s="12" t="s">
        <v>946</v>
      </c>
      <c r="G396" s="11">
        <v>3</v>
      </c>
      <c r="H396" s="11"/>
      <c r="I396" s="6" t="str">
        <f t="shared" si="6"/>
        <v>yokkkk</v>
      </c>
      <c r="J396" s="21"/>
      <c r="K396" s="22"/>
      <c r="L396" s="21"/>
      <c r="M396" s="21"/>
    </row>
    <row r="397" spans="1:13" ht="17.25" customHeight="1">
      <c r="A397" s="19">
        <v>261</v>
      </c>
      <c r="B397" s="5" t="s">
        <v>159</v>
      </c>
      <c r="C397" s="5" t="s">
        <v>893</v>
      </c>
      <c r="D397" s="5" t="s">
        <v>16</v>
      </c>
      <c r="E397" s="11">
        <v>55</v>
      </c>
      <c r="F397" s="12" t="s">
        <v>238</v>
      </c>
      <c r="G397" s="11">
        <v>4</v>
      </c>
      <c r="H397" s="11"/>
      <c r="I397" s="6" t="str">
        <f t="shared" si="6"/>
        <v>yokkkk</v>
      </c>
      <c r="J397" s="21"/>
      <c r="K397" s="22"/>
      <c r="L397" s="21"/>
      <c r="M397" s="21"/>
    </row>
    <row r="398" spans="1:13" ht="17.25" customHeight="1">
      <c r="A398" s="19">
        <v>146</v>
      </c>
      <c r="B398" s="5" t="s">
        <v>104</v>
      </c>
      <c r="C398" s="5" t="s">
        <v>211</v>
      </c>
      <c r="D398" s="5" t="s">
        <v>182</v>
      </c>
      <c r="E398" s="11">
        <v>5</v>
      </c>
      <c r="F398" s="12" t="s">
        <v>532</v>
      </c>
      <c r="G398" s="11">
        <v>3</v>
      </c>
      <c r="H398" s="11"/>
      <c r="I398" s="6" t="str">
        <f t="shared" si="6"/>
        <v>yokkkk</v>
      </c>
      <c r="J398" s="21"/>
      <c r="K398" s="22"/>
      <c r="L398" s="21"/>
      <c r="M398" s="21"/>
    </row>
    <row r="399" spans="1:13" ht="17.25" customHeight="1">
      <c r="A399" s="19">
        <v>146</v>
      </c>
      <c r="B399" s="5" t="s">
        <v>104</v>
      </c>
      <c r="C399" s="5" t="s">
        <v>211</v>
      </c>
      <c r="D399" s="5" t="s">
        <v>182</v>
      </c>
      <c r="E399" s="11">
        <v>11</v>
      </c>
      <c r="F399" s="12" t="s">
        <v>539</v>
      </c>
      <c r="G399" s="11">
        <v>4</v>
      </c>
      <c r="H399" s="11"/>
      <c r="I399" s="6" t="str">
        <f t="shared" si="6"/>
        <v>yokkkk</v>
      </c>
      <c r="J399" s="21"/>
      <c r="K399" s="22"/>
      <c r="L399" s="21"/>
      <c r="M399" s="21"/>
    </row>
    <row r="400" spans="1:13" ht="17.25" customHeight="1">
      <c r="A400" s="19">
        <v>146</v>
      </c>
      <c r="B400" s="5" t="s">
        <v>104</v>
      </c>
      <c r="C400" s="5" t="s">
        <v>211</v>
      </c>
      <c r="D400" s="5" t="s">
        <v>182</v>
      </c>
      <c r="E400" s="11">
        <v>15</v>
      </c>
      <c r="F400" s="12" t="s">
        <v>543</v>
      </c>
      <c r="G400" s="11">
        <v>5</v>
      </c>
      <c r="H400" s="11"/>
      <c r="I400" s="6" t="str">
        <f t="shared" si="6"/>
        <v>yokkkk</v>
      </c>
      <c r="J400" s="21"/>
      <c r="K400" s="22"/>
      <c r="L400" s="21"/>
      <c r="M400" s="21"/>
    </row>
    <row r="401" spans="1:13" ht="17.25" customHeight="1">
      <c r="A401" s="19">
        <v>146</v>
      </c>
      <c r="B401" s="5" t="s">
        <v>104</v>
      </c>
      <c r="C401" s="5" t="s">
        <v>211</v>
      </c>
      <c r="D401" s="5" t="s">
        <v>182</v>
      </c>
      <c r="E401" s="11">
        <v>31</v>
      </c>
      <c r="F401" s="12" t="s">
        <v>946</v>
      </c>
      <c r="G401" s="11">
        <v>2</v>
      </c>
      <c r="H401" s="11"/>
      <c r="I401" s="6" t="str">
        <f t="shared" si="6"/>
        <v>yokkkk</v>
      </c>
      <c r="J401" s="21"/>
      <c r="K401" s="22"/>
      <c r="L401" s="21"/>
      <c r="M401" s="21"/>
    </row>
    <row r="402" spans="1:13" ht="17.25" customHeight="1">
      <c r="A402" s="19">
        <v>146</v>
      </c>
      <c r="B402" s="5" t="s">
        <v>104</v>
      </c>
      <c r="C402" s="5" t="s">
        <v>211</v>
      </c>
      <c r="D402" s="5" t="s">
        <v>182</v>
      </c>
      <c r="E402" s="11">
        <v>96</v>
      </c>
      <c r="F402" s="12" t="s">
        <v>938</v>
      </c>
      <c r="G402" s="11">
        <v>1</v>
      </c>
      <c r="H402" s="11"/>
      <c r="I402" s="6" t="str">
        <f t="shared" si="6"/>
        <v>yokkkk</v>
      </c>
      <c r="J402" s="21"/>
      <c r="K402" s="22"/>
      <c r="L402" s="21"/>
      <c r="M402" s="21"/>
    </row>
    <row r="403" spans="1:13" ht="17.25" customHeight="1">
      <c r="A403" s="19">
        <v>266</v>
      </c>
      <c r="B403" s="5" t="s">
        <v>159</v>
      </c>
      <c r="C403" s="5" t="s">
        <v>896</v>
      </c>
      <c r="D403" s="5" t="s">
        <v>20</v>
      </c>
      <c r="E403" s="11">
        <v>8</v>
      </c>
      <c r="F403" s="12" t="s">
        <v>565</v>
      </c>
      <c r="G403" s="11">
        <v>4</v>
      </c>
      <c r="H403" s="11"/>
      <c r="I403" s="6" t="str">
        <f t="shared" si="6"/>
        <v>yokkkk</v>
      </c>
      <c r="J403" s="21"/>
      <c r="K403" s="22"/>
      <c r="L403" s="21"/>
      <c r="M403" s="21"/>
    </row>
    <row r="404" spans="1:13" ht="17.25" customHeight="1">
      <c r="A404" s="19">
        <v>266</v>
      </c>
      <c r="B404" s="5" t="s">
        <v>159</v>
      </c>
      <c r="C404" s="5" t="s">
        <v>896</v>
      </c>
      <c r="D404" s="5" t="s">
        <v>20</v>
      </c>
      <c r="E404" s="11">
        <v>12</v>
      </c>
      <c r="F404" s="12" t="s">
        <v>540</v>
      </c>
      <c r="G404" s="11">
        <v>3</v>
      </c>
      <c r="H404" s="11"/>
      <c r="I404" s="6" t="str">
        <f t="shared" si="6"/>
        <v>yokkkk</v>
      </c>
      <c r="J404" s="21"/>
      <c r="K404" s="22"/>
      <c r="L404" s="21"/>
      <c r="M404" s="21"/>
    </row>
    <row r="405" spans="1:13" ht="17.25" customHeight="1">
      <c r="A405" s="19">
        <v>266</v>
      </c>
      <c r="B405" s="5" t="s">
        <v>159</v>
      </c>
      <c r="C405" s="5" t="s">
        <v>896</v>
      </c>
      <c r="D405" s="5" t="s">
        <v>20</v>
      </c>
      <c r="E405" s="11">
        <v>13</v>
      </c>
      <c r="F405" s="12" t="s">
        <v>541</v>
      </c>
      <c r="G405" s="11">
        <v>2</v>
      </c>
      <c r="H405" s="11"/>
      <c r="I405" s="6" t="str">
        <f t="shared" si="6"/>
        <v>yokkkk</v>
      </c>
      <c r="J405" s="21"/>
      <c r="K405" s="22"/>
      <c r="L405" s="21"/>
      <c r="M405" s="21"/>
    </row>
    <row r="406" spans="1:13" ht="17.25" customHeight="1">
      <c r="A406" s="19">
        <v>266</v>
      </c>
      <c r="B406" s="5" t="s">
        <v>159</v>
      </c>
      <c r="C406" s="5" t="s">
        <v>896</v>
      </c>
      <c r="D406" s="5" t="s">
        <v>20</v>
      </c>
      <c r="E406" s="11">
        <v>16</v>
      </c>
      <c r="F406" s="12" t="s">
        <v>544</v>
      </c>
      <c r="G406" s="11">
        <v>1</v>
      </c>
      <c r="H406" s="11"/>
      <c r="I406" s="6" t="str">
        <f t="shared" si="6"/>
        <v>yokkkk</v>
      </c>
      <c r="J406" s="21"/>
      <c r="K406" s="22"/>
      <c r="L406" s="21"/>
      <c r="M406" s="21"/>
    </row>
    <row r="407" spans="1:13" ht="17.25" customHeight="1">
      <c r="A407" s="19">
        <v>266</v>
      </c>
      <c r="B407" s="5" t="s">
        <v>159</v>
      </c>
      <c r="C407" s="5" t="s">
        <v>896</v>
      </c>
      <c r="D407" s="5" t="s">
        <v>20</v>
      </c>
      <c r="E407" s="11">
        <v>57</v>
      </c>
      <c r="F407" s="12" t="s">
        <v>552</v>
      </c>
      <c r="G407" s="11">
        <v>5</v>
      </c>
      <c r="H407" s="11"/>
      <c r="I407" s="6" t="str">
        <f t="shared" si="6"/>
        <v>yokkkk</v>
      </c>
      <c r="J407" s="21"/>
      <c r="K407" s="22"/>
      <c r="L407" s="21"/>
      <c r="M407" s="21"/>
    </row>
    <row r="408" spans="1:13" ht="17.25" customHeight="1">
      <c r="A408" s="19">
        <v>55</v>
      </c>
      <c r="B408" s="5" t="s">
        <v>58</v>
      </c>
      <c r="C408" s="5" t="s">
        <v>685</v>
      </c>
      <c r="D408" s="5" t="s">
        <v>282</v>
      </c>
      <c r="E408" s="11">
        <v>4</v>
      </c>
      <c r="F408" s="12" t="s">
        <v>3</v>
      </c>
      <c r="G408" s="11">
        <v>2</v>
      </c>
      <c r="H408" s="11"/>
      <c r="I408" s="6" t="str">
        <f t="shared" si="6"/>
        <v>yokkkk</v>
      </c>
      <c r="J408" s="21"/>
      <c r="K408" s="22"/>
      <c r="L408" s="21"/>
      <c r="M408" s="21"/>
    </row>
    <row r="409" spans="1:13" ht="17.25" customHeight="1">
      <c r="A409" s="19">
        <v>55</v>
      </c>
      <c r="B409" s="5" t="s">
        <v>58</v>
      </c>
      <c r="C409" s="5" t="s">
        <v>685</v>
      </c>
      <c r="D409" s="5" t="s">
        <v>282</v>
      </c>
      <c r="E409" s="11">
        <v>18</v>
      </c>
      <c r="F409" s="12" t="s">
        <v>9</v>
      </c>
      <c r="G409" s="11">
        <v>1</v>
      </c>
      <c r="H409" s="11"/>
      <c r="I409" s="6" t="str">
        <f t="shared" si="6"/>
        <v>yokkkk</v>
      </c>
      <c r="J409" s="21"/>
      <c r="K409" s="22"/>
      <c r="L409" s="21"/>
      <c r="M409" s="21"/>
    </row>
    <row r="410" spans="1:13" ht="17.25" customHeight="1">
      <c r="A410" s="19">
        <v>55</v>
      </c>
      <c r="B410" s="5" t="s">
        <v>58</v>
      </c>
      <c r="C410" s="5" t="s">
        <v>685</v>
      </c>
      <c r="D410" s="5" t="s">
        <v>282</v>
      </c>
      <c r="E410" s="11">
        <v>55</v>
      </c>
      <c r="F410" s="12" t="s">
        <v>238</v>
      </c>
      <c r="G410" s="11">
        <v>3</v>
      </c>
      <c r="H410" s="11"/>
      <c r="I410" s="6" t="str">
        <f t="shared" si="6"/>
        <v>yokkkk</v>
      </c>
      <c r="J410" s="21"/>
      <c r="K410" s="22"/>
      <c r="L410" s="21"/>
      <c r="M410" s="21"/>
    </row>
    <row r="411" spans="1:13" ht="17.25" customHeight="1">
      <c r="A411" s="19">
        <v>35</v>
      </c>
      <c r="B411" s="5" t="s">
        <v>37</v>
      </c>
      <c r="C411" s="5" t="s">
        <v>254</v>
      </c>
      <c r="D411" s="5" t="s">
        <v>100</v>
      </c>
      <c r="E411" s="11">
        <v>4</v>
      </c>
      <c r="F411" s="12" t="s">
        <v>3</v>
      </c>
      <c r="G411" s="11">
        <v>1</v>
      </c>
      <c r="H411" s="11"/>
      <c r="I411" s="6" t="str">
        <f t="shared" si="6"/>
        <v>yokkkk</v>
      </c>
      <c r="J411" s="21"/>
      <c r="K411" s="22"/>
      <c r="L411" s="21"/>
      <c r="M411" s="21"/>
    </row>
    <row r="412" spans="1:13" ht="17.25" customHeight="1">
      <c r="A412" s="19">
        <v>35</v>
      </c>
      <c r="B412" s="5" t="s">
        <v>37</v>
      </c>
      <c r="C412" s="5" t="s">
        <v>254</v>
      </c>
      <c r="D412" s="5" t="s">
        <v>100</v>
      </c>
      <c r="E412" s="11">
        <v>26</v>
      </c>
      <c r="F412" s="12" t="s">
        <v>947</v>
      </c>
      <c r="G412" s="11">
        <v>4</v>
      </c>
      <c r="H412" s="11"/>
      <c r="I412" s="6" t="str">
        <f t="shared" si="6"/>
        <v>yokkkk</v>
      </c>
      <c r="J412" s="21"/>
      <c r="K412" s="22"/>
      <c r="L412" s="21"/>
      <c r="M412" s="21"/>
    </row>
    <row r="413" spans="1:13" ht="17.25" customHeight="1">
      <c r="A413" s="19">
        <v>35</v>
      </c>
      <c r="B413" s="5" t="s">
        <v>37</v>
      </c>
      <c r="C413" s="5" t="s">
        <v>254</v>
      </c>
      <c r="D413" s="5" t="s">
        <v>100</v>
      </c>
      <c r="E413" s="11">
        <v>31</v>
      </c>
      <c r="F413" s="12" t="s">
        <v>946</v>
      </c>
      <c r="G413" s="11">
        <v>5</v>
      </c>
      <c r="H413" s="11"/>
      <c r="I413" s="6" t="str">
        <f t="shared" si="6"/>
        <v>yokkkk</v>
      </c>
      <c r="J413" s="21"/>
      <c r="K413" s="22"/>
      <c r="L413" s="21"/>
      <c r="M413" s="21"/>
    </row>
    <row r="414" spans="1:13" ht="17.25" customHeight="1">
      <c r="A414" s="19">
        <v>35</v>
      </c>
      <c r="B414" s="5" t="s">
        <v>37</v>
      </c>
      <c r="C414" s="5" t="s">
        <v>254</v>
      </c>
      <c r="D414" s="5" t="s">
        <v>100</v>
      </c>
      <c r="E414" s="11">
        <v>55</v>
      </c>
      <c r="F414" s="12" t="s">
        <v>238</v>
      </c>
      <c r="G414" s="11">
        <v>2</v>
      </c>
      <c r="H414" s="11"/>
      <c r="I414" s="6" t="str">
        <f t="shared" si="6"/>
        <v>yokkkk</v>
      </c>
      <c r="J414" s="21"/>
      <c r="K414" s="22"/>
      <c r="L414" s="21"/>
      <c r="M414" s="21"/>
    </row>
    <row r="415" spans="1:13" ht="17.25" customHeight="1">
      <c r="A415" s="19">
        <v>35</v>
      </c>
      <c r="B415" s="5" t="s">
        <v>37</v>
      </c>
      <c r="C415" s="5" t="s">
        <v>254</v>
      </c>
      <c r="D415" s="5" t="s">
        <v>100</v>
      </c>
      <c r="E415" s="11">
        <v>80</v>
      </c>
      <c r="F415" s="12" t="s">
        <v>945</v>
      </c>
      <c r="G415" s="11">
        <v>3</v>
      </c>
      <c r="H415" s="11"/>
      <c r="I415" s="6" t="str">
        <f t="shared" si="6"/>
        <v>yokkkk</v>
      </c>
      <c r="J415" s="21"/>
      <c r="K415" s="22"/>
      <c r="L415" s="21"/>
      <c r="M415" s="21"/>
    </row>
    <row r="416" spans="1:13" ht="15.75" customHeight="1">
      <c r="A416" s="23">
        <v>123</v>
      </c>
      <c r="B416" s="24" t="s">
        <v>104</v>
      </c>
      <c r="C416" s="24" t="s">
        <v>105</v>
      </c>
      <c r="D416" s="24" t="s">
        <v>100</v>
      </c>
      <c r="E416" s="23">
        <v>9</v>
      </c>
      <c r="F416" s="24" t="s">
        <v>537</v>
      </c>
      <c r="G416" s="23">
        <v>1</v>
      </c>
      <c r="H416" s="25" t="s">
        <v>963</v>
      </c>
      <c r="I416" s="6" t="str">
        <f t="shared" si="6"/>
        <v>yokkkk</v>
      </c>
      <c r="J416" s="21"/>
      <c r="K416" s="22"/>
      <c r="L416" s="21"/>
      <c r="M416" s="21"/>
    </row>
    <row r="417" spans="1:13" ht="17.25" customHeight="1">
      <c r="A417" s="19">
        <v>22</v>
      </c>
      <c r="B417" s="5" t="s">
        <v>31</v>
      </c>
      <c r="C417" s="5" t="s">
        <v>246</v>
      </c>
      <c r="D417" s="5" t="s">
        <v>113</v>
      </c>
      <c r="E417" s="11">
        <v>29</v>
      </c>
      <c r="F417" s="12" t="s">
        <v>571</v>
      </c>
      <c r="G417" s="11">
        <v>2</v>
      </c>
      <c r="H417" s="11"/>
      <c r="I417" s="6" t="str">
        <f t="shared" si="6"/>
        <v>yokkkk</v>
      </c>
      <c r="J417" s="21"/>
      <c r="K417" s="22"/>
      <c r="L417" s="21"/>
      <c r="M417" s="21"/>
    </row>
    <row r="418" spans="1:13" ht="17.25" customHeight="1">
      <c r="A418" s="19">
        <v>22</v>
      </c>
      <c r="B418" s="5" t="s">
        <v>31</v>
      </c>
      <c r="C418" s="5" t="s">
        <v>246</v>
      </c>
      <c r="D418" s="5" t="s">
        <v>113</v>
      </c>
      <c r="E418" s="11">
        <v>30</v>
      </c>
      <c r="F418" s="12" t="s">
        <v>572</v>
      </c>
      <c r="G418" s="11">
        <v>1</v>
      </c>
      <c r="H418" s="11"/>
      <c r="I418" s="6" t="str">
        <f t="shared" si="6"/>
        <v>yokkkk</v>
      </c>
      <c r="J418" s="21"/>
      <c r="K418" s="22"/>
      <c r="L418" s="21"/>
      <c r="M418" s="21"/>
    </row>
    <row r="419" spans="1:13" ht="17.25" customHeight="1">
      <c r="A419" s="19">
        <v>22</v>
      </c>
      <c r="B419" s="5" t="s">
        <v>31</v>
      </c>
      <c r="C419" s="5" t="s">
        <v>246</v>
      </c>
      <c r="D419" s="5" t="s">
        <v>113</v>
      </c>
      <c r="E419" s="11">
        <v>32</v>
      </c>
      <c r="F419" s="12" t="s">
        <v>549</v>
      </c>
      <c r="G419" s="11">
        <v>3</v>
      </c>
      <c r="H419" s="11"/>
      <c r="I419" s="6" t="str">
        <f t="shared" si="6"/>
        <v>yokkkk</v>
      </c>
      <c r="J419" s="21"/>
      <c r="K419" s="22"/>
      <c r="L419" s="21"/>
      <c r="M419" s="21"/>
    </row>
    <row r="420" spans="1:13" ht="17.25" customHeight="1">
      <c r="A420" s="19">
        <v>22</v>
      </c>
      <c r="B420" s="5" t="s">
        <v>31</v>
      </c>
      <c r="C420" s="5" t="s">
        <v>246</v>
      </c>
      <c r="D420" s="5" t="s">
        <v>113</v>
      </c>
      <c r="E420" s="11">
        <v>39</v>
      </c>
      <c r="F420" s="12" t="s">
        <v>545</v>
      </c>
      <c r="G420" s="11">
        <v>4</v>
      </c>
      <c r="H420" s="11"/>
      <c r="I420" s="6" t="str">
        <f t="shared" si="6"/>
        <v>yokkkk</v>
      </c>
      <c r="J420" s="21"/>
      <c r="K420" s="22"/>
      <c r="L420" s="21"/>
      <c r="M420" s="21"/>
    </row>
    <row r="421" spans="1:13" ht="17.25" customHeight="1">
      <c r="A421" s="19">
        <v>45</v>
      </c>
      <c r="B421" s="5" t="s">
        <v>44</v>
      </c>
      <c r="C421" s="5" t="s">
        <v>12</v>
      </c>
      <c r="D421" s="5" t="s">
        <v>664</v>
      </c>
      <c r="E421" s="11">
        <v>34</v>
      </c>
      <c r="F421" s="12" t="s">
        <v>8</v>
      </c>
      <c r="G421" s="11">
        <v>1</v>
      </c>
      <c r="H421" s="11"/>
      <c r="I421" s="6" t="str">
        <f t="shared" si="6"/>
        <v>yokkkk</v>
      </c>
      <c r="J421" s="21"/>
      <c r="K421" s="22"/>
      <c r="L421" s="21"/>
      <c r="M421" s="21"/>
    </row>
    <row r="422" spans="1:13" ht="17.25" customHeight="1">
      <c r="A422" s="19">
        <v>45</v>
      </c>
      <c r="B422" s="5" t="s">
        <v>44</v>
      </c>
      <c r="C422" s="5" t="s">
        <v>12</v>
      </c>
      <c r="D422" s="5" t="s">
        <v>664</v>
      </c>
      <c r="E422" s="11">
        <v>36</v>
      </c>
      <c r="F422" s="12" t="s">
        <v>557</v>
      </c>
      <c r="G422" s="11">
        <v>2</v>
      </c>
      <c r="H422" s="11"/>
      <c r="I422" s="6" t="str">
        <f t="shared" si="6"/>
        <v>yokkkk</v>
      </c>
      <c r="J422" s="21"/>
      <c r="K422" s="22"/>
      <c r="L422" s="21"/>
      <c r="M422" s="21"/>
    </row>
    <row r="423" spans="1:13" ht="17.25" customHeight="1">
      <c r="A423" s="19">
        <v>45</v>
      </c>
      <c r="B423" s="5" t="s">
        <v>44</v>
      </c>
      <c r="C423" s="5" t="s">
        <v>12</v>
      </c>
      <c r="D423" s="5" t="s">
        <v>664</v>
      </c>
      <c r="E423" s="11">
        <v>41</v>
      </c>
      <c r="F423" s="12" t="s">
        <v>527</v>
      </c>
      <c r="G423" s="11">
        <v>3</v>
      </c>
      <c r="H423" s="11"/>
      <c r="I423" s="6" t="str">
        <f t="shared" si="6"/>
        <v>yokkkk</v>
      </c>
      <c r="J423" s="21"/>
      <c r="K423" s="22"/>
      <c r="L423" s="21"/>
      <c r="M423" s="21"/>
    </row>
    <row r="424" spans="1:13" ht="17.25" customHeight="1">
      <c r="A424" s="19">
        <v>45</v>
      </c>
      <c r="B424" s="5" t="s">
        <v>44</v>
      </c>
      <c r="C424" s="5" t="s">
        <v>12</v>
      </c>
      <c r="D424" s="5" t="s">
        <v>664</v>
      </c>
      <c r="E424" s="11">
        <v>42</v>
      </c>
      <c r="F424" s="12" t="s">
        <v>528</v>
      </c>
      <c r="G424" s="11">
        <v>5</v>
      </c>
      <c r="H424" s="11"/>
      <c r="I424" s="6" t="str">
        <f t="shared" si="6"/>
        <v>yokkkk</v>
      </c>
      <c r="J424" s="21"/>
      <c r="K424" s="22"/>
      <c r="L424" s="21"/>
      <c r="M424" s="21"/>
    </row>
    <row r="425" spans="1:13" ht="17.25" customHeight="1">
      <c r="A425" s="19">
        <v>45</v>
      </c>
      <c r="B425" s="5" t="s">
        <v>44</v>
      </c>
      <c r="C425" s="5" t="s">
        <v>12</v>
      </c>
      <c r="D425" s="5" t="s">
        <v>664</v>
      </c>
      <c r="E425" s="11">
        <v>73</v>
      </c>
      <c r="F425" s="12" t="s">
        <v>551</v>
      </c>
      <c r="G425" s="11">
        <v>4</v>
      </c>
      <c r="H425" s="11"/>
      <c r="I425" s="6" t="str">
        <f t="shared" si="6"/>
        <v>yokkkk</v>
      </c>
      <c r="J425" s="21"/>
      <c r="K425" s="22"/>
      <c r="L425" s="21"/>
      <c r="M425" s="21"/>
    </row>
    <row r="426" spans="1:13" ht="17.25" customHeight="1">
      <c r="A426" s="19">
        <v>290</v>
      </c>
      <c r="B426" s="5" t="s">
        <v>172</v>
      </c>
      <c r="C426" s="5" t="s">
        <v>931</v>
      </c>
      <c r="D426" s="5" t="s">
        <v>932</v>
      </c>
      <c r="E426" s="11">
        <v>27</v>
      </c>
      <c r="F426" s="12" t="s">
        <v>569</v>
      </c>
      <c r="G426" s="11">
        <v>5</v>
      </c>
      <c r="H426" s="11"/>
      <c r="I426" s="6" t="str">
        <f t="shared" si="6"/>
        <v>yokkkk</v>
      </c>
      <c r="J426" s="21"/>
      <c r="K426" s="22"/>
      <c r="L426" s="21"/>
      <c r="M426" s="21"/>
    </row>
    <row r="427" spans="1:13" ht="17.25" customHeight="1">
      <c r="A427" s="19">
        <v>290</v>
      </c>
      <c r="B427" s="5" t="s">
        <v>172</v>
      </c>
      <c r="C427" s="5" t="s">
        <v>931</v>
      </c>
      <c r="D427" s="5" t="s">
        <v>932</v>
      </c>
      <c r="E427" s="11">
        <v>28</v>
      </c>
      <c r="F427" s="12" t="s">
        <v>570</v>
      </c>
      <c r="G427" s="11">
        <v>2</v>
      </c>
      <c r="H427" s="11"/>
      <c r="I427" s="6" t="str">
        <f t="shared" si="6"/>
        <v>yokkkk</v>
      </c>
      <c r="J427" s="21"/>
      <c r="K427" s="22"/>
      <c r="L427" s="21"/>
      <c r="M427" s="21"/>
    </row>
    <row r="428" spans="1:13" ht="17.25" customHeight="1">
      <c r="A428" s="19">
        <v>290</v>
      </c>
      <c r="B428" s="5" t="s">
        <v>172</v>
      </c>
      <c r="C428" s="5" t="s">
        <v>931</v>
      </c>
      <c r="D428" s="5" t="s">
        <v>932</v>
      </c>
      <c r="E428" s="11">
        <v>47</v>
      </c>
      <c r="F428" s="12" t="s">
        <v>944</v>
      </c>
      <c r="G428" s="11">
        <v>1</v>
      </c>
      <c r="H428" s="11"/>
      <c r="I428" s="6" t="str">
        <f t="shared" si="6"/>
        <v>yokkkk</v>
      </c>
      <c r="J428" s="21"/>
      <c r="K428" s="22"/>
      <c r="L428" s="21"/>
      <c r="M428" s="21"/>
    </row>
    <row r="429" spans="1:13" ht="17.25" customHeight="1">
      <c r="A429" s="19">
        <v>290</v>
      </c>
      <c r="B429" s="5" t="s">
        <v>172</v>
      </c>
      <c r="C429" s="5" t="s">
        <v>931</v>
      </c>
      <c r="D429" s="5" t="s">
        <v>932</v>
      </c>
      <c r="E429" s="11">
        <v>81</v>
      </c>
      <c r="F429" s="12" t="s">
        <v>546</v>
      </c>
      <c r="G429" s="11">
        <v>2</v>
      </c>
      <c r="H429" s="11"/>
      <c r="I429" s="6" t="str">
        <f t="shared" si="6"/>
        <v>yokkkk</v>
      </c>
      <c r="J429" s="21"/>
      <c r="K429" s="22"/>
      <c r="L429" s="21"/>
      <c r="M429" s="21"/>
    </row>
    <row r="430" spans="1:13" ht="17.25" customHeight="1">
      <c r="A430" s="19">
        <v>290</v>
      </c>
      <c r="B430" s="5" t="s">
        <v>172</v>
      </c>
      <c r="C430" s="5" t="s">
        <v>931</v>
      </c>
      <c r="D430" s="5" t="s">
        <v>932</v>
      </c>
      <c r="E430" s="11">
        <v>85</v>
      </c>
      <c r="F430" s="12" t="s">
        <v>580</v>
      </c>
      <c r="G430" s="11">
        <v>4</v>
      </c>
      <c r="H430" s="11"/>
      <c r="I430" s="6" t="str">
        <f t="shared" si="6"/>
        <v>yokkkk</v>
      </c>
      <c r="J430" s="21"/>
      <c r="K430" s="22"/>
      <c r="L430" s="21"/>
      <c r="M430" s="21"/>
    </row>
    <row r="431" spans="1:13" ht="17.25" customHeight="1">
      <c r="A431" s="19">
        <v>133</v>
      </c>
      <c r="B431" s="5" t="s">
        <v>104</v>
      </c>
      <c r="C431" s="5" t="s">
        <v>292</v>
      </c>
      <c r="D431" s="5" t="s">
        <v>293</v>
      </c>
      <c r="E431" s="11">
        <v>50</v>
      </c>
      <c r="F431" s="12" t="s">
        <v>559</v>
      </c>
      <c r="G431" s="11">
        <v>3</v>
      </c>
      <c r="H431" s="11"/>
      <c r="I431" s="6" t="str">
        <f t="shared" si="6"/>
        <v>yokkkk</v>
      </c>
      <c r="J431" s="21"/>
      <c r="K431" s="22"/>
      <c r="L431" s="21"/>
      <c r="M431" s="21"/>
    </row>
    <row r="432" spans="1:13" ht="17.25" customHeight="1">
      <c r="A432" s="19">
        <v>133</v>
      </c>
      <c r="B432" s="5" t="s">
        <v>104</v>
      </c>
      <c r="C432" s="5" t="s">
        <v>292</v>
      </c>
      <c r="D432" s="5" t="s">
        <v>293</v>
      </c>
      <c r="E432" s="11">
        <v>84</v>
      </c>
      <c r="F432" s="12" t="s">
        <v>237</v>
      </c>
      <c r="G432" s="11">
        <v>1</v>
      </c>
      <c r="H432" s="11"/>
      <c r="I432" s="6" t="str">
        <f t="shared" si="6"/>
        <v>yokkkk</v>
      </c>
      <c r="J432" s="21"/>
      <c r="K432" s="22"/>
      <c r="L432" s="21"/>
      <c r="M432" s="21"/>
    </row>
    <row r="433" spans="1:13" ht="17.25" customHeight="1">
      <c r="A433" s="19">
        <v>133</v>
      </c>
      <c r="B433" s="5" t="s">
        <v>104</v>
      </c>
      <c r="C433" s="5" t="s">
        <v>292</v>
      </c>
      <c r="D433" s="5" t="s">
        <v>293</v>
      </c>
      <c r="E433" s="11">
        <v>85</v>
      </c>
      <c r="F433" s="12" t="s">
        <v>580</v>
      </c>
      <c r="G433" s="11">
        <v>2</v>
      </c>
      <c r="H433" s="11"/>
      <c r="I433" s="6" t="str">
        <f t="shared" si="6"/>
        <v>yokkkk</v>
      </c>
      <c r="J433" s="21"/>
      <c r="K433" s="22"/>
      <c r="L433" s="21"/>
      <c r="M433" s="21"/>
    </row>
    <row r="434" spans="1:13" ht="17.25" customHeight="1">
      <c r="A434" s="19">
        <v>212</v>
      </c>
      <c r="B434" s="5" t="s">
        <v>136</v>
      </c>
      <c r="C434" s="5" t="s">
        <v>331</v>
      </c>
      <c r="D434" s="5" t="s">
        <v>332</v>
      </c>
      <c r="E434" s="11">
        <v>2</v>
      </c>
      <c r="F434" s="12" t="s">
        <v>529</v>
      </c>
      <c r="G434" s="11">
        <v>3</v>
      </c>
      <c r="H434" s="11"/>
      <c r="I434" s="6" t="str">
        <f t="shared" si="6"/>
        <v>yokkkk</v>
      </c>
      <c r="J434" s="21"/>
      <c r="K434" s="22"/>
      <c r="L434" s="21"/>
      <c r="M434" s="21"/>
    </row>
    <row r="435" spans="1:13" ht="17.25" customHeight="1">
      <c r="A435" s="19">
        <v>212</v>
      </c>
      <c r="B435" s="5" t="s">
        <v>136</v>
      </c>
      <c r="C435" s="5" t="s">
        <v>331</v>
      </c>
      <c r="D435" s="5" t="s">
        <v>332</v>
      </c>
      <c r="E435" s="11">
        <v>34</v>
      </c>
      <c r="F435" s="12" t="s">
        <v>8</v>
      </c>
      <c r="G435" s="11">
        <v>1</v>
      </c>
      <c r="H435" s="11"/>
      <c r="I435" s="6" t="str">
        <f t="shared" si="6"/>
        <v>yokkkk</v>
      </c>
      <c r="J435" s="21"/>
      <c r="K435" s="22"/>
      <c r="L435" s="21"/>
      <c r="M435" s="21"/>
    </row>
    <row r="436" spans="1:13" ht="17.25" customHeight="1">
      <c r="A436" s="19">
        <v>212</v>
      </c>
      <c r="B436" s="5" t="s">
        <v>136</v>
      </c>
      <c r="C436" s="5" t="s">
        <v>331</v>
      </c>
      <c r="D436" s="5" t="s">
        <v>332</v>
      </c>
      <c r="E436" s="11">
        <v>38</v>
      </c>
      <c r="F436" s="12" t="s">
        <v>534</v>
      </c>
      <c r="G436" s="11">
        <v>2</v>
      </c>
      <c r="H436" s="11"/>
      <c r="I436" s="6" t="str">
        <f t="shared" si="6"/>
        <v>yokkkk</v>
      </c>
      <c r="J436" s="21"/>
      <c r="K436" s="22"/>
      <c r="L436" s="21"/>
      <c r="M436" s="21"/>
    </row>
    <row r="437" spans="1:13" ht="17.25" customHeight="1">
      <c r="A437" s="19">
        <v>212</v>
      </c>
      <c r="B437" s="5" t="s">
        <v>136</v>
      </c>
      <c r="C437" s="5" t="s">
        <v>331</v>
      </c>
      <c r="D437" s="5" t="s">
        <v>332</v>
      </c>
      <c r="E437" s="11">
        <v>76</v>
      </c>
      <c r="F437" s="12" t="s">
        <v>4</v>
      </c>
      <c r="G437" s="11">
        <v>4</v>
      </c>
      <c r="H437" s="11"/>
      <c r="I437" s="6" t="str">
        <f t="shared" si="6"/>
        <v>yokkkk</v>
      </c>
      <c r="J437" s="21"/>
      <c r="K437" s="22"/>
      <c r="L437" s="21"/>
      <c r="M437" s="21"/>
    </row>
    <row r="438" spans="1:13" ht="17.25" customHeight="1">
      <c r="A438" s="19">
        <v>135</v>
      </c>
      <c r="B438" s="5" t="s">
        <v>104</v>
      </c>
      <c r="C438" s="5" t="s">
        <v>145</v>
      </c>
      <c r="D438" s="5" t="s">
        <v>100</v>
      </c>
      <c r="E438" s="11">
        <v>9</v>
      </c>
      <c r="F438" s="12" t="s">
        <v>537</v>
      </c>
      <c r="G438" s="11">
        <v>1</v>
      </c>
      <c r="H438" s="11"/>
      <c r="I438" s="6" t="str">
        <f t="shared" si="6"/>
        <v>yokkkk</v>
      </c>
      <c r="J438" s="21"/>
      <c r="K438" s="22"/>
      <c r="L438" s="21"/>
      <c r="M438" s="21"/>
    </row>
    <row r="439" spans="1:13" ht="17.25" customHeight="1">
      <c r="A439" s="19">
        <v>135</v>
      </c>
      <c r="B439" s="5" t="s">
        <v>104</v>
      </c>
      <c r="C439" s="5" t="s">
        <v>145</v>
      </c>
      <c r="D439" s="5" t="s">
        <v>100</v>
      </c>
      <c r="E439" s="11">
        <v>18</v>
      </c>
      <c r="F439" s="12" t="s">
        <v>9</v>
      </c>
      <c r="G439" s="11">
        <v>2</v>
      </c>
      <c r="H439" s="11"/>
      <c r="I439" s="6" t="str">
        <f t="shared" si="6"/>
        <v>yokkkk</v>
      </c>
      <c r="J439" s="21"/>
      <c r="K439" s="22"/>
      <c r="L439" s="21"/>
      <c r="M439" s="21"/>
    </row>
    <row r="440" spans="1:13" ht="17.25" customHeight="1">
      <c r="A440" s="19">
        <v>135</v>
      </c>
      <c r="B440" s="5" t="s">
        <v>104</v>
      </c>
      <c r="C440" s="5" t="s">
        <v>145</v>
      </c>
      <c r="D440" s="5" t="s">
        <v>100</v>
      </c>
      <c r="E440" s="11">
        <v>49</v>
      </c>
      <c r="F440" s="12" t="s">
        <v>6</v>
      </c>
      <c r="G440" s="11">
        <v>5</v>
      </c>
      <c r="H440" s="11"/>
      <c r="I440" s="6" t="str">
        <f t="shared" si="6"/>
        <v>yokkkk</v>
      </c>
      <c r="J440" s="21"/>
      <c r="K440" s="22"/>
      <c r="L440" s="21"/>
      <c r="M440" s="21"/>
    </row>
    <row r="441" spans="1:13" ht="17.25" customHeight="1">
      <c r="A441" s="19">
        <v>135</v>
      </c>
      <c r="B441" s="5" t="s">
        <v>104</v>
      </c>
      <c r="C441" s="5" t="s">
        <v>145</v>
      </c>
      <c r="D441" s="5" t="s">
        <v>100</v>
      </c>
      <c r="E441" s="11">
        <v>76</v>
      </c>
      <c r="F441" s="12" t="s">
        <v>4</v>
      </c>
      <c r="G441" s="11">
        <v>3</v>
      </c>
      <c r="H441" s="11"/>
      <c r="I441" s="6" t="str">
        <f t="shared" si="6"/>
        <v>yokkkk</v>
      </c>
      <c r="J441" s="21"/>
      <c r="K441" s="22"/>
      <c r="L441" s="21"/>
      <c r="M441" s="21"/>
    </row>
    <row r="442" spans="1:13" ht="17.25" customHeight="1">
      <c r="A442" s="19">
        <v>135</v>
      </c>
      <c r="B442" s="5" t="s">
        <v>104</v>
      </c>
      <c r="C442" s="5" t="s">
        <v>145</v>
      </c>
      <c r="D442" s="5" t="s">
        <v>100</v>
      </c>
      <c r="E442" s="11">
        <v>84</v>
      </c>
      <c r="F442" s="12" t="s">
        <v>237</v>
      </c>
      <c r="G442" s="11">
        <v>4</v>
      </c>
      <c r="H442" s="11"/>
      <c r="I442" s="6" t="str">
        <f t="shared" si="6"/>
        <v>yokkkk</v>
      </c>
      <c r="J442" s="21"/>
      <c r="K442" s="22"/>
      <c r="L442" s="21"/>
      <c r="M442" s="21"/>
    </row>
    <row r="443" spans="1:13" ht="17.25" customHeight="1">
      <c r="A443" s="19">
        <v>64</v>
      </c>
      <c r="B443" s="5" t="s">
        <v>65</v>
      </c>
      <c r="C443" s="5" t="s">
        <v>134</v>
      </c>
      <c r="D443" s="5" t="s">
        <v>693</v>
      </c>
      <c r="E443" s="11">
        <v>26</v>
      </c>
      <c r="F443" s="12" t="s">
        <v>947</v>
      </c>
      <c r="G443" s="11">
        <v>1</v>
      </c>
      <c r="H443" s="11"/>
      <c r="I443" s="6" t="str">
        <f t="shared" si="6"/>
        <v>yokkkk</v>
      </c>
      <c r="J443" s="21"/>
      <c r="K443" s="22"/>
      <c r="L443" s="21"/>
      <c r="M443" s="21"/>
    </row>
    <row r="444" spans="1:13" ht="17.25" customHeight="1">
      <c r="A444" s="19">
        <v>64</v>
      </c>
      <c r="B444" s="5" t="s">
        <v>65</v>
      </c>
      <c r="C444" s="5" t="s">
        <v>134</v>
      </c>
      <c r="D444" s="5" t="s">
        <v>693</v>
      </c>
      <c r="E444" s="11">
        <v>27</v>
      </c>
      <c r="F444" s="12" t="s">
        <v>569</v>
      </c>
      <c r="G444" s="11">
        <v>2</v>
      </c>
      <c r="H444" s="11"/>
      <c r="I444" s="6" t="str">
        <f t="shared" si="6"/>
        <v>yokkkk</v>
      </c>
      <c r="J444" s="21"/>
      <c r="K444" s="22"/>
      <c r="L444" s="21"/>
      <c r="M444" s="21"/>
    </row>
    <row r="445" spans="1:13" ht="17.25" customHeight="1">
      <c r="A445" s="19">
        <v>30</v>
      </c>
      <c r="B445" s="5" t="s">
        <v>31</v>
      </c>
      <c r="C445" s="5" t="s">
        <v>645</v>
      </c>
      <c r="D445" s="5" t="s">
        <v>99</v>
      </c>
      <c r="E445" s="11">
        <v>31</v>
      </c>
      <c r="F445" s="12" t="s">
        <v>946</v>
      </c>
      <c r="G445" s="11">
        <v>1</v>
      </c>
      <c r="H445" s="11"/>
      <c r="I445" s="6" t="str">
        <f t="shared" si="6"/>
        <v>yokkkk</v>
      </c>
      <c r="J445" s="21"/>
      <c r="K445" s="22"/>
      <c r="L445" s="21"/>
      <c r="M445" s="21"/>
    </row>
    <row r="446" spans="1:13" ht="17.25" customHeight="1">
      <c r="A446" s="19">
        <v>30</v>
      </c>
      <c r="B446" s="5" t="s">
        <v>31</v>
      </c>
      <c r="C446" s="5" t="s">
        <v>645</v>
      </c>
      <c r="D446" s="5" t="s">
        <v>99</v>
      </c>
      <c r="E446" s="11">
        <v>49</v>
      </c>
      <c r="F446" s="12" t="s">
        <v>6</v>
      </c>
      <c r="G446" s="11">
        <v>2</v>
      </c>
      <c r="H446" s="11"/>
      <c r="I446" s="6" t="str">
        <f t="shared" si="6"/>
        <v>yokkkk</v>
      </c>
      <c r="J446" s="21"/>
      <c r="K446" s="22"/>
      <c r="L446" s="21"/>
      <c r="M446" s="21"/>
    </row>
    <row r="447" spans="1:13" ht="17.25" customHeight="1">
      <c r="A447" s="19">
        <v>173</v>
      </c>
      <c r="B447" s="5" t="s">
        <v>112</v>
      </c>
      <c r="C447" s="5" t="s">
        <v>811</v>
      </c>
      <c r="D447" s="5" t="s">
        <v>812</v>
      </c>
      <c r="E447" s="11">
        <v>8</v>
      </c>
      <c r="F447" s="12" t="s">
        <v>565</v>
      </c>
      <c r="G447" s="11">
        <v>2</v>
      </c>
      <c r="H447" s="11"/>
      <c r="I447" s="6" t="str">
        <f t="shared" si="6"/>
        <v>yokkkk</v>
      </c>
      <c r="J447" s="21"/>
      <c r="K447" s="22"/>
      <c r="L447" s="21"/>
      <c r="M447" s="21"/>
    </row>
    <row r="448" spans="1:13" ht="17.25" customHeight="1">
      <c r="A448" s="19">
        <v>173</v>
      </c>
      <c r="B448" s="5" t="s">
        <v>112</v>
      </c>
      <c r="C448" s="5" t="s">
        <v>811</v>
      </c>
      <c r="D448" s="5" t="s">
        <v>812</v>
      </c>
      <c r="E448" s="11">
        <v>10</v>
      </c>
      <c r="F448" s="12" t="s">
        <v>538</v>
      </c>
      <c r="G448" s="11">
        <v>4</v>
      </c>
      <c r="H448" s="11"/>
      <c r="I448" s="6" t="str">
        <f t="shared" si="6"/>
        <v>yokkkk</v>
      </c>
      <c r="J448" s="21"/>
      <c r="K448" s="22"/>
      <c r="L448" s="21"/>
      <c r="M448" s="21"/>
    </row>
    <row r="449" spans="1:13" ht="17.25" customHeight="1">
      <c r="A449" s="19">
        <v>173</v>
      </c>
      <c r="B449" s="5" t="s">
        <v>112</v>
      </c>
      <c r="C449" s="5" t="s">
        <v>811</v>
      </c>
      <c r="D449" s="5" t="s">
        <v>812</v>
      </c>
      <c r="E449" s="11">
        <v>19</v>
      </c>
      <c r="F449" s="12" t="s">
        <v>615</v>
      </c>
      <c r="G449" s="11">
        <v>3</v>
      </c>
      <c r="H449" s="11"/>
      <c r="I449" s="6" t="str">
        <f t="shared" si="6"/>
        <v>yokkkk</v>
      </c>
      <c r="J449" s="21"/>
      <c r="K449" s="22"/>
      <c r="L449" s="21"/>
      <c r="M449" s="21"/>
    </row>
    <row r="450" spans="1:13" ht="17.25" customHeight="1">
      <c r="A450" s="19">
        <v>173</v>
      </c>
      <c r="B450" s="5" t="s">
        <v>112</v>
      </c>
      <c r="C450" s="5" t="s">
        <v>811</v>
      </c>
      <c r="D450" s="5" t="s">
        <v>812</v>
      </c>
      <c r="E450" s="11">
        <v>22</v>
      </c>
      <c r="F450" s="12" t="s">
        <v>956</v>
      </c>
      <c r="G450" s="11">
        <v>5</v>
      </c>
      <c r="H450" s="11"/>
      <c r="I450" s="6" t="str">
        <f t="shared" si="6"/>
        <v>yokkkk</v>
      </c>
      <c r="J450" s="21"/>
      <c r="K450" s="22"/>
      <c r="L450" s="21"/>
      <c r="M450" s="21"/>
    </row>
    <row r="451" spans="1:13" ht="17.25" customHeight="1">
      <c r="A451" s="19">
        <v>173</v>
      </c>
      <c r="B451" s="5" t="s">
        <v>112</v>
      </c>
      <c r="C451" s="5" t="s">
        <v>811</v>
      </c>
      <c r="D451" s="5" t="s">
        <v>812</v>
      </c>
      <c r="E451" s="11">
        <v>53</v>
      </c>
      <c r="F451" s="12" t="s">
        <v>562</v>
      </c>
      <c r="G451" s="11">
        <v>6</v>
      </c>
      <c r="H451" s="11"/>
      <c r="I451" s="6" t="str">
        <f t="shared" ref="I451:I514" si="7">IF(COUNTIF(J:J,A451)," var","yokkkk")</f>
        <v>yokkkk</v>
      </c>
      <c r="J451" s="21"/>
      <c r="K451" s="22"/>
      <c r="L451" s="21"/>
      <c r="M451" s="21"/>
    </row>
    <row r="452" spans="1:13" ht="17.25" customHeight="1">
      <c r="A452" s="19">
        <v>173</v>
      </c>
      <c r="B452" s="5" t="s">
        <v>112</v>
      </c>
      <c r="C452" s="5" t="s">
        <v>811</v>
      </c>
      <c r="D452" s="5" t="s">
        <v>812</v>
      </c>
      <c r="E452" s="11">
        <v>81</v>
      </c>
      <c r="F452" s="12" t="s">
        <v>546</v>
      </c>
      <c r="G452" s="11">
        <v>1</v>
      </c>
      <c r="H452" s="11"/>
      <c r="I452" s="6" t="str">
        <f t="shared" si="7"/>
        <v>yokkkk</v>
      </c>
      <c r="J452" s="21"/>
      <c r="K452" s="22"/>
      <c r="L452" s="21"/>
      <c r="M452" s="21"/>
    </row>
    <row r="453" spans="1:13" ht="17.25" customHeight="1">
      <c r="A453" s="19">
        <v>112</v>
      </c>
      <c r="B453" s="5" t="s">
        <v>97</v>
      </c>
      <c r="C453" s="5" t="s">
        <v>286</v>
      </c>
      <c r="D453" s="5" t="s">
        <v>287</v>
      </c>
      <c r="E453" s="11">
        <v>28</v>
      </c>
      <c r="F453" s="12" t="s">
        <v>570</v>
      </c>
      <c r="G453" s="11">
        <v>1</v>
      </c>
      <c r="H453" s="11"/>
      <c r="I453" s="6" t="str">
        <f t="shared" si="7"/>
        <v>yokkkk</v>
      </c>
      <c r="J453" s="21"/>
      <c r="K453" s="22"/>
      <c r="L453" s="21"/>
      <c r="M453" s="21"/>
    </row>
    <row r="454" spans="1:13" ht="17.25" customHeight="1">
      <c r="A454" s="19">
        <v>63</v>
      </c>
      <c r="B454" s="5" t="s">
        <v>65</v>
      </c>
      <c r="C454" s="5" t="s">
        <v>691</v>
      </c>
      <c r="D454" s="5" t="s">
        <v>100</v>
      </c>
      <c r="E454" s="11">
        <v>10</v>
      </c>
      <c r="F454" s="12" t="s">
        <v>538</v>
      </c>
      <c r="G454" s="11">
        <v>5</v>
      </c>
      <c r="H454" s="11"/>
      <c r="I454" s="6" t="str">
        <f t="shared" si="7"/>
        <v>yokkkk</v>
      </c>
      <c r="J454" s="21"/>
      <c r="K454" s="22"/>
      <c r="L454" s="21"/>
      <c r="M454" s="21"/>
    </row>
    <row r="455" spans="1:13" ht="17.25" customHeight="1">
      <c r="A455" s="19">
        <v>63</v>
      </c>
      <c r="B455" s="5" t="s">
        <v>65</v>
      </c>
      <c r="C455" s="5" t="s">
        <v>691</v>
      </c>
      <c r="D455" s="5" t="s">
        <v>100</v>
      </c>
      <c r="E455" s="11">
        <v>11</v>
      </c>
      <c r="F455" s="12" t="s">
        <v>539</v>
      </c>
      <c r="G455" s="11">
        <v>4</v>
      </c>
      <c r="H455" s="11"/>
      <c r="I455" s="6" t="str">
        <f t="shared" si="7"/>
        <v>yokkkk</v>
      </c>
      <c r="J455" s="21"/>
      <c r="K455" s="22"/>
      <c r="L455" s="21"/>
      <c r="M455" s="21"/>
    </row>
    <row r="456" spans="1:13" ht="17.25" customHeight="1">
      <c r="A456" s="19">
        <v>63</v>
      </c>
      <c r="B456" s="5" t="s">
        <v>65</v>
      </c>
      <c r="C456" s="5" t="s">
        <v>691</v>
      </c>
      <c r="D456" s="5" t="s">
        <v>100</v>
      </c>
      <c r="E456" s="11">
        <v>28</v>
      </c>
      <c r="F456" s="12" t="s">
        <v>570</v>
      </c>
      <c r="G456" s="11">
        <v>3</v>
      </c>
      <c r="H456" s="11"/>
      <c r="I456" s="6" t="str">
        <f t="shared" si="7"/>
        <v>yokkkk</v>
      </c>
      <c r="J456" s="21"/>
      <c r="K456" s="22"/>
      <c r="L456" s="21"/>
      <c r="M456" s="21"/>
    </row>
    <row r="457" spans="1:13" ht="17.25" customHeight="1">
      <c r="A457" s="19">
        <v>63</v>
      </c>
      <c r="B457" s="5" t="s">
        <v>65</v>
      </c>
      <c r="C457" s="5" t="s">
        <v>691</v>
      </c>
      <c r="D457" s="5" t="s">
        <v>100</v>
      </c>
      <c r="E457" s="11">
        <v>78</v>
      </c>
      <c r="F457" s="12" t="s">
        <v>574</v>
      </c>
      <c r="G457" s="11">
        <v>2</v>
      </c>
      <c r="H457" s="11"/>
      <c r="I457" s="6" t="str">
        <f t="shared" si="7"/>
        <v>yokkkk</v>
      </c>
      <c r="J457" s="21"/>
      <c r="K457" s="22"/>
      <c r="L457" s="21"/>
      <c r="M457" s="21"/>
    </row>
    <row r="458" spans="1:13" ht="17.25" customHeight="1">
      <c r="A458" s="19">
        <v>63</v>
      </c>
      <c r="B458" s="5" t="s">
        <v>65</v>
      </c>
      <c r="C458" s="5" t="s">
        <v>691</v>
      </c>
      <c r="D458" s="5" t="s">
        <v>100</v>
      </c>
      <c r="E458" s="11">
        <v>79</v>
      </c>
      <c r="F458" s="12" t="s">
        <v>575</v>
      </c>
      <c r="G458" s="11">
        <v>1</v>
      </c>
      <c r="H458" s="11"/>
      <c r="I458" s="6" t="str">
        <f t="shared" si="7"/>
        <v>yokkkk</v>
      </c>
      <c r="J458" s="21"/>
      <c r="K458" s="22"/>
      <c r="L458" s="21"/>
      <c r="M458" s="21"/>
    </row>
    <row r="459" spans="1:13" ht="17.25" customHeight="1">
      <c r="A459" s="19">
        <v>215</v>
      </c>
      <c r="B459" s="5" t="s">
        <v>138</v>
      </c>
      <c r="C459" s="5" t="s">
        <v>335</v>
      </c>
      <c r="D459" s="5" t="s">
        <v>16</v>
      </c>
      <c r="E459" s="11">
        <v>9</v>
      </c>
      <c r="F459" s="12" t="s">
        <v>537</v>
      </c>
      <c r="G459" s="11">
        <v>5</v>
      </c>
      <c r="H459" s="11"/>
      <c r="I459" s="6" t="str">
        <f t="shared" si="7"/>
        <v>yokkkk</v>
      </c>
      <c r="J459" s="21"/>
      <c r="K459" s="22"/>
      <c r="L459" s="21"/>
      <c r="M459" s="21"/>
    </row>
    <row r="460" spans="1:13" ht="17.25" customHeight="1">
      <c r="A460" s="19">
        <v>215</v>
      </c>
      <c r="B460" s="5" t="s">
        <v>138</v>
      </c>
      <c r="C460" s="5" t="s">
        <v>335</v>
      </c>
      <c r="D460" s="5" t="s">
        <v>16</v>
      </c>
      <c r="E460" s="11">
        <v>61</v>
      </c>
      <c r="F460" s="12" t="s">
        <v>576</v>
      </c>
      <c r="G460" s="11">
        <v>3</v>
      </c>
      <c r="H460" s="11"/>
      <c r="I460" s="6" t="str">
        <f t="shared" si="7"/>
        <v>yokkkk</v>
      </c>
      <c r="J460" s="21"/>
      <c r="K460" s="22"/>
      <c r="L460" s="21"/>
      <c r="M460" s="21"/>
    </row>
    <row r="461" spans="1:13" ht="17.25" customHeight="1">
      <c r="A461" s="19">
        <v>215</v>
      </c>
      <c r="B461" s="5" t="s">
        <v>138</v>
      </c>
      <c r="C461" s="5" t="s">
        <v>335</v>
      </c>
      <c r="D461" s="5" t="s">
        <v>16</v>
      </c>
      <c r="E461" s="11">
        <v>64</v>
      </c>
      <c r="F461" s="12" t="s">
        <v>577</v>
      </c>
      <c r="G461" s="11">
        <v>2</v>
      </c>
      <c r="H461" s="11"/>
      <c r="I461" s="6" t="str">
        <f t="shared" si="7"/>
        <v>yokkkk</v>
      </c>
      <c r="J461" s="21"/>
      <c r="K461" s="22"/>
      <c r="L461" s="21"/>
      <c r="M461" s="21"/>
    </row>
    <row r="462" spans="1:13" ht="17.25" customHeight="1">
      <c r="A462" s="19">
        <v>215</v>
      </c>
      <c r="B462" s="5" t="s">
        <v>138</v>
      </c>
      <c r="C462" s="5" t="s">
        <v>335</v>
      </c>
      <c r="D462" s="5" t="s">
        <v>16</v>
      </c>
      <c r="E462" s="11">
        <v>69</v>
      </c>
      <c r="F462" s="12" t="s">
        <v>585</v>
      </c>
      <c r="G462" s="11">
        <v>4</v>
      </c>
      <c r="H462" s="11"/>
      <c r="I462" s="6" t="str">
        <f t="shared" si="7"/>
        <v>yokkkk</v>
      </c>
      <c r="J462" s="21"/>
      <c r="K462" s="22"/>
      <c r="L462" s="21"/>
      <c r="M462" s="21"/>
    </row>
    <row r="463" spans="1:13" ht="17.25" customHeight="1">
      <c r="A463" s="19">
        <v>215</v>
      </c>
      <c r="B463" s="5" t="s">
        <v>138</v>
      </c>
      <c r="C463" s="5" t="s">
        <v>335</v>
      </c>
      <c r="D463" s="5" t="s">
        <v>16</v>
      </c>
      <c r="E463" s="11">
        <v>72</v>
      </c>
      <c r="F463" s="12" t="s">
        <v>582</v>
      </c>
      <c r="G463" s="11">
        <v>1</v>
      </c>
      <c r="H463" s="11"/>
      <c r="I463" s="6" t="str">
        <f t="shared" si="7"/>
        <v>yokkkk</v>
      </c>
      <c r="J463" s="21"/>
      <c r="K463" s="22"/>
      <c r="L463" s="21"/>
      <c r="M463" s="21"/>
    </row>
    <row r="464" spans="1:13" ht="17.25" customHeight="1">
      <c r="A464" s="19">
        <v>233</v>
      </c>
      <c r="B464" s="5" t="s">
        <v>148</v>
      </c>
      <c r="C464" s="5" t="s">
        <v>94</v>
      </c>
      <c r="D464" s="5" t="s">
        <v>51</v>
      </c>
      <c r="E464" s="11">
        <v>28</v>
      </c>
      <c r="F464" s="12" t="s">
        <v>570</v>
      </c>
      <c r="G464" s="11">
        <v>2</v>
      </c>
      <c r="H464" s="11"/>
      <c r="I464" s="6" t="str">
        <f t="shared" si="7"/>
        <v>yokkkk</v>
      </c>
      <c r="J464" s="21"/>
      <c r="K464" s="22"/>
      <c r="L464" s="21"/>
      <c r="M464" s="21"/>
    </row>
    <row r="465" spans="1:13" ht="17.25" customHeight="1">
      <c r="A465" s="19">
        <v>233</v>
      </c>
      <c r="B465" s="5" t="s">
        <v>148</v>
      </c>
      <c r="C465" s="5" t="s">
        <v>94</v>
      </c>
      <c r="D465" s="5" t="s">
        <v>51</v>
      </c>
      <c r="E465" s="11">
        <v>58</v>
      </c>
      <c r="F465" s="12" t="s">
        <v>553</v>
      </c>
      <c r="G465" s="11">
        <v>4</v>
      </c>
      <c r="H465" s="11"/>
      <c r="I465" s="6" t="str">
        <f t="shared" si="7"/>
        <v>yokkkk</v>
      </c>
      <c r="J465" s="21"/>
      <c r="K465" s="22"/>
      <c r="L465" s="21"/>
      <c r="M465" s="21"/>
    </row>
    <row r="466" spans="1:13" ht="17.25" customHeight="1">
      <c r="A466" s="19">
        <v>233</v>
      </c>
      <c r="B466" s="5" t="s">
        <v>148</v>
      </c>
      <c r="C466" s="5" t="s">
        <v>94</v>
      </c>
      <c r="D466" s="5" t="s">
        <v>51</v>
      </c>
      <c r="E466" s="11">
        <v>68</v>
      </c>
      <c r="F466" s="12" t="s">
        <v>583</v>
      </c>
      <c r="G466" s="11">
        <v>3</v>
      </c>
      <c r="H466" s="11"/>
      <c r="I466" s="6" t="str">
        <f t="shared" si="7"/>
        <v>yokkkk</v>
      </c>
      <c r="J466" s="21"/>
      <c r="K466" s="22"/>
      <c r="L466" s="21"/>
      <c r="M466" s="21"/>
    </row>
    <row r="467" spans="1:13" ht="17.25" customHeight="1">
      <c r="A467" s="19">
        <v>233</v>
      </c>
      <c r="B467" s="5" t="s">
        <v>148</v>
      </c>
      <c r="C467" s="5" t="s">
        <v>94</v>
      </c>
      <c r="D467" s="5" t="s">
        <v>51</v>
      </c>
      <c r="E467" s="11">
        <v>81</v>
      </c>
      <c r="F467" s="12" t="s">
        <v>546</v>
      </c>
      <c r="G467" s="11">
        <v>1</v>
      </c>
      <c r="H467" s="11"/>
      <c r="I467" s="6" t="str">
        <f t="shared" si="7"/>
        <v>yokkkk</v>
      </c>
      <c r="J467" s="21"/>
      <c r="K467" s="22"/>
      <c r="L467" s="21"/>
      <c r="M467" s="21"/>
    </row>
    <row r="468" spans="1:13" ht="17.25" customHeight="1">
      <c r="A468" s="19">
        <v>233</v>
      </c>
      <c r="B468" s="5" t="s">
        <v>148</v>
      </c>
      <c r="C468" s="5" t="s">
        <v>94</v>
      </c>
      <c r="D468" s="5" t="s">
        <v>51</v>
      </c>
      <c r="E468" s="11">
        <v>84</v>
      </c>
      <c r="F468" s="12" t="s">
        <v>237</v>
      </c>
      <c r="G468" s="11">
        <v>5</v>
      </c>
      <c r="H468" s="11"/>
      <c r="I468" s="6" t="str">
        <f t="shared" si="7"/>
        <v>yokkkk</v>
      </c>
      <c r="J468" s="21"/>
      <c r="K468" s="22"/>
      <c r="L468" s="21"/>
      <c r="M468" s="21"/>
    </row>
    <row r="469" spans="1:13" ht="17.25" customHeight="1">
      <c r="A469" s="19">
        <v>105</v>
      </c>
      <c r="B469" s="5" t="s">
        <v>92</v>
      </c>
      <c r="C469" s="5" t="s">
        <v>39</v>
      </c>
      <c r="D469" s="5" t="s">
        <v>13</v>
      </c>
      <c r="E469" s="11">
        <v>28</v>
      </c>
      <c r="F469" s="12" t="s">
        <v>570</v>
      </c>
      <c r="G469" s="11">
        <v>1</v>
      </c>
      <c r="H469" s="11"/>
      <c r="I469" s="6" t="str">
        <f t="shared" si="7"/>
        <v>yokkkk</v>
      </c>
      <c r="J469" s="21"/>
      <c r="K469" s="22"/>
      <c r="L469" s="21"/>
      <c r="M469" s="21"/>
    </row>
    <row r="470" spans="1:13" ht="17.25" customHeight="1">
      <c r="A470" s="19">
        <v>105</v>
      </c>
      <c r="B470" s="5" t="s">
        <v>92</v>
      </c>
      <c r="C470" s="5" t="s">
        <v>39</v>
      </c>
      <c r="D470" s="5" t="s">
        <v>13</v>
      </c>
      <c r="E470" s="11">
        <v>53</v>
      </c>
      <c r="F470" s="12" t="s">
        <v>562</v>
      </c>
      <c r="G470" s="11">
        <v>2</v>
      </c>
      <c r="H470" s="11"/>
      <c r="I470" s="6" t="str">
        <f t="shared" si="7"/>
        <v>yokkkk</v>
      </c>
      <c r="J470" s="21"/>
      <c r="K470" s="22"/>
      <c r="L470" s="21"/>
      <c r="M470" s="21"/>
    </row>
    <row r="471" spans="1:13" ht="17.25" customHeight="1">
      <c r="A471" s="19">
        <v>93</v>
      </c>
      <c r="B471" s="5" t="s">
        <v>85</v>
      </c>
      <c r="C471" s="5" t="s">
        <v>116</v>
      </c>
      <c r="D471" s="5" t="s">
        <v>371</v>
      </c>
      <c r="E471" s="11">
        <v>80</v>
      </c>
      <c r="F471" s="12" t="s">
        <v>945</v>
      </c>
      <c r="G471" s="11">
        <v>1</v>
      </c>
      <c r="H471" s="11"/>
      <c r="I471" s="6" t="str">
        <f t="shared" si="7"/>
        <v>yokkkk</v>
      </c>
      <c r="J471" s="21"/>
      <c r="K471" s="22"/>
      <c r="L471" s="21"/>
      <c r="M471" s="21"/>
    </row>
    <row r="472" spans="1:13" ht="17.25" customHeight="1">
      <c r="A472" s="19">
        <v>237</v>
      </c>
      <c r="B472" s="5" t="s">
        <v>150</v>
      </c>
      <c r="C472" s="5" t="s">
        <v>871</v>
      </c>
      <c r="D472" s="5" t="s">
        <v>359</v>
      </c>
      <c r="E472" s="11">
        <v>55</v>
      </c>
      <c r="F472" s="12" t="s">
        <v>238</v>
      </c>
      <c r="G472" s="11">
        <v>4</v>
      </c>
      <c r="H472" s="11"/>
      <c r="I472" s="6" t="str">
        <f t="shared" si="7"/>
        <v>yokkkk</v>
      </c>
      <c r="J472" s="21"/>
      <c r="K472" s="22"/>
      <c r="L472" s="21"/>
      <c r="M472" s="21"/>
    </row>
    <row r="473" spans="1:13" ht="17.25" customHeight="1">
      <c r="A473" s="19">
        <v>237</v>
      </c>
      <c r="B473" s="5" t="s">
        <v>150</v>
      </c>
      <c r="C473" s="5" t="s">
        <v>871</v>
      </c>
      <c r="D473" s="5" t="s">
        <v>359</v>
      </c>
      <c r="E473" s="11">
        <v>77</v>
      </c>
      <c r="F473" s="12" t="s">
        <v>573</v>
      </c>
      <c r="G473" s="11">
        <v>3</v>
      </c>
      <c r="H473" s="11"/>
      <c r="I473" s="6" t="str">
        <f t="shared" si="7"/>
        <v>yokkkk</v>
      </c>
      <c r="J473" s="21"/>
      <c r="K473" s="22"/>
      <c r="L473" s="21"/>
      <c r="M473" s="21"/>
    </row>
    <row r="474" spans="1:13" ht="17.25" customHeight="1">
      <c r="A474" s="19">
        <v>237</v>
      </c>
      <c r="B474" s="5" t="s">
        <v>150</v>
      </c>
      <c r="C474" s="5" t="s">
        <v>871</v>
      </c>
      <c r="D474" s="5" t="s">
        <v>359</v>
      </c>
      <c r="E474" s="11">
        <v>78</v>
      </c>
      <c r="F474" s="12" t="s">
        <v>574</v>
      </c>
      <c r="G474" s="11">
        <v>1</v>
      </c>
      <c r="H474" s="11"/>
      <c r="I474" s="6" t="str">
        <f t="shared" si="7"/>
        <v>yokkkk</v>
      </c>
      <c r="J474" s="21"/>
      <c r="K474" s="22"/>
      <c r="L474" s="21"/>
      <c r="M474" s="21"/>
    </row>
    <row r="475" spans="1:13" ht="17.25" customHeight="1">
      <c r="A475" s="19">
        <v>237</v>
      </c>
      <c r="B475" s="5" t="s">
        <v>150</v>
      </c>
      <c r="C475" s="5" t="s">
        <v>871</v>
      </c>
      <c r="D475" s="5" t="s">
        <v>359</v>
      </c>
      <c r="E475" s="11">
        <v>79</v>
      </c>
      <c r="F475" s="12" t="s">
        <v>575</v>
      </c>
      <c r="G475" s="11">
        <v>2</v>
      </c>
      <c r="H475" s="11"/>
      <c r="I475" s="6" t="str">
        <f t="shared" si="7"/>
        <v>yokkkk</v>
      </c>
      <c r="J475" s="21"/>
      <c r="K475" s="22"/>
      <c r="L475" s="21"/>
      <c r="M475" s="21"/>
    </row>
    <row r="476" spans="1:13" ht="17.25" customHeight="1">
      <c r="A476" s="19">
        <v>285</v>
      </c>
      <c r="B476" s="5" t="s">
        <v>168</v>
      </c>
      <c r="C476" s="5" t="s">
        <v>924</v>
      </c>
      <c r="D476" s="5" t="s">
        <v>16</v>
      </c>
      <c r="E476" s="11">
        <v>23</v>
      </c>
      <c r="F476" s="12" t="s">
        <v>7</v>
      </c>
      <c r="G476" s="11">
        <v>5</v>
      </c>
      <c r="H476" s="11"/>
      <c r="I476" s="6" t="str">
        <f t="shared" si="7"/>
        <v>yokkkk</v>
      </c>
      <c r="J476" s="21"/>
      <c r="K476" s="22"/>
      <c r="L476" s="21"/>
      <c r="M476" s="21"/>
    </row>
    <row r="477" spans="1:13" ht="17.25" customHeight="1">
      <c r="A477" s="19">
        <v>285</v>
      </c>
      <c r="B477" s="5" t="s">
        <v>168</v>
      </c>
      <c r="C477" s="5" t="s">
        <v>924</v>
      </c>
      <c r="D477" s="5" t="s">
        <v>16</v>
      </c>
      <c r="E477" s="11">
        <v>24</v>
      </c>
      <c r="F477" s="12" t="s">
        <v>951</v>
      </c>
      <c r="G477" s="11">
        <v>4</v>
      </c>
      <c r="H477" s="11"/>
      <c r="I477" s="6" t="str">
        <f t="shared" si="7"/>
        <v>yokkkk</v>
      </c>
      <c r="J477" s="21"/>
      <c r="K477" s="22"/>
      <c r="L477" s="21"/>
      <c r="M477" s="21"/>
    </row>
    <row r="478" spans="1:13" ht="17.25" customHeight="1">
      <c r="A478" s="19">
        <v>285</v>
      </c>
      <c r="B478" s="5" t="s">
        <v>168</v>
      </c>
      <c r="C478" s="5" t="s">
        <v>924</v>
      </c>
      <c r="D478" s="5" t="s">
        <v>16</v>
      </c>
      <c r="E478" s="11">
        <v>55</v>
      </c>
      <c r="F478" s="12" t="s">
        <v>238</v>
      </c>
      <c r="G478" s="11">
        <v>3</v>
      </c>
      <c r="H478" s="11"/>
      <c r="I478" s="6" t="str">
        <f t="shared" si="7"/>
        <v>yokkkk</v>
      </c>
      <c r="J478" s="21"/>
      <c r="K478" s="22"/>
      <c r="L478" s="21"/>
      <c r="M478" s="21"/>
    </row>
    <row r="479" spans="1:13" ht="17.25" customHeight="1">
      <c r="A479" s="19">
        <v>285</v>
      </c>
      <c r="B479" s="5" t="s">
        <v>168</v>
      </c>
      <c r="C479" s="5" t="s">
        <v>924</v>
      </c>
      <c r="D479" s="5" t="s">
        <v>16</v>
      </c>
      <c r="E479" s="11">
        <v>96</v>
      </c>
      <c r="F479" s="12" t="s">
        <v>938</v>
      </c>
      <c r="G479" s="11">
        <v>2</v>
      </c>
      <c r="H479" s="11"/>
      <c r="I479" s="6" t="str">
        <f t="shared" si="7"/>
        <v>yokkkk</v>
      </c>
      <c r="J479" s="21"/>
      <c r="K479" s="22"/>
      <c r="L479" s="21"/>
      <c r="M479" s="21"/>
    </row>
    <row r="480" spans="1:13" ht="17.25" customHeight="1">
      <c r="A480" s="19">
        <v>285</v>
      </c>
      <c r="B480" s="5" t="s">
        <v>168</v>
      </c>
      <c r="C480" s="5" t="s">
        <v>924</v>
      </c>
      <c r="D480" s="5" t="s">
        <v>16</v>
      </c>
      <c r="E480" s="11">
        <v>97</v>
      </c>
      <c r="F480" s="12" t="s">
        <v>939</v>
      </c>
      <c r="G480" s="11">
        <v>1</v>
      </c>
      <c r="H480" s="11"/>
      <c r="I480" s="6" t="str">
        <f t="shared" si="7"/>
        <v>yokkkk</v>
      </c>
      <c r="J480" s="21"/>
      <c r="K480" s="22"/>
      <c r="L480" s="21"/>
      <c r="M480" s="21"/>
    </row>
    <row r="481" spans="1:13" ht="17.25" customHeight="1">
      <c r="A481" s="19">
        <v>101</v>
      </c>
      <c r="B481" s="5" t="s">
        <v>92</v>
      </c>
      <c r="C481" s="5" t="s">
        <v>738</v>
      </c>
      <c r="D481" s="5" t="s">
        <v>739</v>
      </c>
      <c r="E481" s="11">
        <v>54</v>
      </c>
      <c r="F481" s="12" t="s">
        <v>533</v>
      </c>
      <c r="G481" s="11">
        <v>1</v>
      </c>
      <c r="H481" s="11"/>
      <c r="I481" s="6" t="str">
        <f t="shared" si="7"/>
        <v>yokkkk</v>
      </c>
      <c r="J481" s="21"/>
      <c r="K481" s="22"/>
      <c r="L481" s="21"/>
      <c r="M481" s="21"/>
    </row>
    <row r="482" spans="1:13" ht="17.25" customHeight="1">
      <c r="A482" s="19">
        <v>101</v>
      </c>
      <c r="B482" s="5" t="s">
        <v>92</v>
      </c>
      <c r="C482" s="5" t="s">
        <v>738</v>
      </c>
      <c r="D482" s="5" t="s">
        <v>739</v>
      </c>
      <c r="E482" s="11">
        <v>63</v>
      </c>
      <c r="F482" s="12" t="s">
        <v>579</v>
      </c>
      <c r="G482" s="11">
        <v>2</v>
      </c>
      <c r="H482" s="11"/>
      <c r="I482" s="6" t="str">
        <f t="shared" si="7"/>
        <v>yokkkk</v>
      </c>
      <c r="J482" s="21"/>
      <c r="K482" s="22"/>
      <c r="L482" s="21"/>
      <c r="M482" s="21"/>
    </row>
    <row r="483" spans="1:13" ht="17.25" customHeight="1">
      <c r="A483" s="19">
        <v>101</v>
      </c>
      <c r="B483" s="5" t="s">
        <v>92</v>
      </c>
      <c r="C483" s="5" t="s">
        <v>738</v>
      </c>
      <c r="D483" s="5" t="s">
        <v>739</v>
      </c>
      <c r="E483" s="11">
        <v>64</v>
      </c>
      <c r="F483" s="12" t="s">
        <v>577</v>
      </c>
      <c r="G483" s="11">
        <v>3</v>
      </c>
      <c r="H483" s="11"/>
      <c r="I483" s="6" t="str">
        <f t="shared" si="7"/>
        <v>yokkkk</v>
      </c>
      <c r="J483" s="21"/>
      <c r="K483" s="22"/>
      <c r="L483" s="21"/>
      <c r="M483" s="21"/>
    </row>
    <row r="484" spans="1:13" ht="17.25" customHeight="1">
      <c r="A484" s="19">
        <v>118</v>
      </c>
      <c r="B484" s="5" t="s">
        <v>98</v>
      </c>
      <c r="C484" s="5" t="s">
        <v>761</v>
      </c>
      <c r="D484" s="5" t="s">
        <v>106</v>
      </c>
      <c r="E484" s="11">
        <v>4</v>
      </c>
      <c r="F484" s="12" t="s">
        <v>3</v>
      </c>
      <c r="G484" s="11">
        <v>1</v>
      </c>
      <c r="H484" s="11"/>
      <c r="I484" s="6" t="str">
        <f t="shared" si="7"/>
        <v>yokkkk</v>
      </c>
      <c r="J484" s="21"/>
      <c r="K484" s="22"/>
      <c r="L484" s="21"/>
      <c r="M484" s="21"/>
    </row>
    <row r="485" spans="1:13" ht="17.25" customHeight="1">
      <c r="A485" s="19">
        <v>118</v>
      </c>
      <c r="B485" s="5" t="s">
        <v>98</v>
      </c>
      <c r="C485" s="5" t="s">
        <v>761</v>
      </c>
      <c r="D485" s="5" t="s">
        <v>106</v>
      </c>
      <c r="E485" s="11">
        <v>7</v>
      </c>
      <c r="F485" s="12" t="s">
        <v>564</v>
      </c>
      <c r="G485" s="11">
        <v>2</v>
      </c>
      <c r="H485" s="11"/>
      <c r="I485" s="6" t="str">
        <f t="shared" si="7"/>
        <v>yokkkk</v>
      </c>
      <c r="J485" s="21"/>
      <c r="K485" s="22"/>
      <c r="L485" s="21"/>
      <c r="M485" s="21"/>
    </row>
    <row r="486" spans="1:13" ht="17.25" customHeight="1">
      <c r="A486" s="19">
        <v>118</v>
      </c>
      <c r="B486" s="5" t="s">
        <v>98</v>
      </c>
      <c r="C486" s="5" t="s">
        <v>761</v>
      </c>
      <c r="D486" s="5" t="s">
        <v>106</v>
      </c>
      <c r="E486" s="11">
        <v>9</v>
      </c>
      <c r="F486" s="12" t="s">
        <v>537</v>
      </c>
      <c r="G486" s="11">
        <v>3</v>
      </c>
      <c r="H486" s="11"/>
      <c r="I486" s="6" t="str">
        <f t="shared" si="7"/>
        <v>yokkkk</v>
      </c>
      <c r="J486" s="21"/>
      <c r="K486" s="22"/>
      <c r="L486" s="21"/>
      <c r="M486" s="21"/>
    </row>
    <row r="487" spans="1:13" ht="17.25" customHeight="1">
      <c r="A487" s="19">
        <v>118</v>
      </c>
      <c r="B487" s="5" t="s">
        <v>98</v>
      </c>
      <c r="C487" s="5" t="s">
        <v>761</v>
      </c>
      <c r="D487" s="5" t="s">
        <v>106</v>
      </c>
      <c r="E487" s="11">
        <v>11</v>
      </c>
      <c r="F487" s="12" t="s">
        <v>539</v>
      </c>
      <c r="G487" s="11">
        <v>5</v>
      </c>
      <c r="H487" s="11"/>
      <c r="I487" s="6" t="str">
        <f t="shared" si="7"/>
        <v>yokkkk</v>
      </c>
      <c r="J487" s="21"/>
      <c r="K487" s="22"/>
      <c r="L487" s="21"/>
      <c r="M487" s="21"/>
    </row>
    <row r="488" spans="1:13" ht="17.25" customHeight="1">
      <c r="A488" s="19">
        <v>118</v>
      </c>
      <c r="B488" s="5" t="s">
        <v>98</v>
      </c>
      <c r="C488" s="5" t="s">
        <v>761</v>
      </c>
      <c r="D488" s="5" t="s">
        <v>106</v>
      </c>
      <c r="E488" s="11">
        <v>16</v>
      </c>
      <c r="F488" s="12" t="s">
        <v>544</v>
      </c>
      <c r="G488" s="11">
        <v>4</v>
      </c>
      <c r="H488" s="11"/>
      <c r="I488" s="6" t="str">
        <f t="shared" si="7"/>
        <v>yokkkk</v>
      </c>
      <c r="J488" s="21"/>
      <c r="K488" s="22"/>
      <c r="L488" s="21"/>
      <c r="M488" s="21"/>
    </row>
    <row r="489" spans="1:13" ht="17.25" customHeight="1">
      <c r="A489" s="19">
        <v>228</v>
      </c>
      <c r="B489" s="5" t="s">
        <v>146</v>
      </c>
      <c r="C489" s="5" t="s">
        <v>859</v>
      </c>
      <c r="D489" s="5" t="s">
        <v>647</v>
      </c>
      <c r="E489" s="11">
        <v>26</v>
      </c>
      <c r="F489" s="12" t="s">
        <v>947</v>
      </c>
      <c r="G489" s="11">
        <v>1</v>
      </c>
      <c r="H489" s="11"/>
      <c r="I489" s="6" t="str">
        <f t="shared" si="7"/>
        <v>yokkkk</v>
      </c>
      <c r="J489" s="21"/>
      <c r="K489" s="22"/>
      <c r="L489" s="21"/>
      <c r="M489" s="21"/>
    </row>
    <row r="490" spans="1:13" ht="17.25" customHeight="1">
      <c r="A490" s="19">
        <v>228</v>
      </c>
      <c r="B490" s="5" t="s">
        <v>146</v>
      </c>
      <c r="C490" s="5" t="s">
        <v>859</v>
      </c>
      <c r="D490" s="5" t="s">
        <v>647</v>
      </c>
      <c r="E490" s="11">
        <v>27</v>
      </c>
      <c r="F490" s="12" t="s">
        <v>569</v>
      </c>
      <c r="G490" s="11">
        <v>2</v>
      </c>
      <c r="H490" s="11"/>
      <c r="I490" s="6" t="str">
        <f t="shared" si="7"/>
        <v>yokkkk</v>
      </c>
      <c r="J490" s="21"/>
      <c r="K490" s="22"/>
      <c r="L490" s="21"/>
      <c r="M490" s="21"/>
    </row>
    <row r="491" spans="1:13" ht="17.25" customHeight="1">
      <c r="A491" s="19">
        <v>228</v>
      </c>
      <c r="B491" s="5" t="s">
        <v>146</v>
      </c>
      <c r="C491" s="5" t="s">
        <v>859</v>
      </c>
      <c r="D491" s="5" t="s">
        <v>647</v>
      </c>
      <c r="E491" s="11">
        <v>28</v>
      </c>
      <c r="F491" s="12" t="s">
        <v>570</v>
      </c>
      <c r="G491" s="11">
        <v>3</v>
      </c>
      <c r="H491" s="11"/>
      <c r="I491" s="6" t="str">
        <f t="shared" si="7"/>
        <v>yokkkk</v>
      </c>
      <c r="J491" s="21"/>
      <c r="K491" s="22"/>
      <c r="L491" s="21"/>
      <c r="M491" s="21"/>
    </row>
    <row r="492" spans="1:13" ht="17.25" customHeight="1">
      <c r="A492" s="19">
        <v>228</v>
      </c>
      <c r="B492" s="5" t="s">
        <v>146</v>
      </c>
      <c r="C492" s="5" t="s">
        <v>859</v>
      </c>
      <c r="D492" s="5" t="s">
        <v>647</v>
      </c>
      <c r="E492" s="11">
        <v>54</v>
      </c>
      <c r="F492" s="12" t="s">
        <v>533</v>
      </c>
      <c r="G492" s="11">
        <v>5</v>
      </c>
      <c r="H492" s="11"/>
      <c r="I492" s="6" t="str">
        <f t="shared" si="7"/>
        <v>yokkkk</v>
      </c>
      <c r="J492" s="21"/>
      <c r="K492" s="22"/>
      <c r="L492" s="21"/>
      <c r="M492" s="21"/>
    </row>
    <row r="493" spans="1:13" ht="17.25" customHeight="1">
      <c r="A493" s="19">
        <v>228</v>
      </c>
      <c r="B493" s="5" t="s">
        <v>146</v>
      </c>
      <c r="C493" s="5" t="s">
        <v>859</v>
      </c>
      <c r="D493" s="5" t="s">
        <v>647</v>
      </c>
      <c r="E493" s="11">
        <v>55</v>
      </c>
      <c r="F493" s="12" t="s">
        <v>238</v>
      </c>
      <c r="G493" s="11">
        <v>4</v>
      </c>
      <c r="H493" s="11"/>
      <c r="I493" s="6" t="str">
        <f t="shared" si="7"/>
        <v>yokkkk</v>
      </c>
      <c r="J493" s="21"/>
      <c r="K493" s="22"/>
      <c r="L493" s="21"/>
      <c r="M493" s="21"/>
    </row>
    <row r="494" spans="1:13" ht="17.25" customHeight="1">
      <c r="A494" s="19">
        <v>115</v>
      </c>
      <c r="B494" s="5" t="s">
        <v>98</v>
      </c>
      <c r="C494" s="5" t="s">
        <v>757</v>
      </c>
      <c r="D494" s="5" t="s">
        <v>758</v>
      </c>
      <c r="E494" s="11">
        <v>34</v>
      </c>
      <c r="F494" s="12" t="s">
        <v>8</v>
      </c>
      <c r="G494" s="11">
        <v>1</v>
      </c>
      <c r="H494" s="11"/>
      <c r="I494" s="6" t="str">
        <f t="shared" si="7"/>
        <v>yokkkk</v>
      </c>
      <c r="J494" s="21"/>
      <c r="K494" s="22"/>
      <c r="L494" s="21"/>
      <c r="M494" s="21"/>
    </row>
    <row r="495" spans="1:13" ht="17.25" customHeight="1">
      <c r="A495" s="19">
        <v>115</v>
      </c>
      <c r="B495" s="5" t="s">
        <v>98</v>
      </c>
      <c r="C495" s="5" t="s">
        <v>757</v>
      </c>
      <c r="D495" s="5" t="s">
        <v>758</v>
      </c>
      <c r="E495" s="11">
        <v>35</v>
      </c>
      <c r="F495" s="12" t="s">
        <v>556</v>
      </c>
      <c r="G495" s="11">
        <v>2</v>
      </c>
      <c r="H495" s="11"/>
      <c r="I495" s="6" t="str">
        <f t="shared" si="7"/>
        <v>yokkkk</v>
      </c>
      <c r="J495" s="21"/>
      <c r="K495" s="22"/>
      <c r="L495" s="21"/>
      <c r="M495" s="21"/>
    </row>
    <row r="496" spans="1:13" ht="17.25" customHeight="1">
      <c r="A496" s="19">
        <v>115</v>
      </c>
      <c r="B496" s="5" t="s">
        <v>98</v>
      </c>
      <c r="C496" s="5" t="s">
        <v>757</v>
      </c>
      <c r="D496" s="5" t="s">
        <v>758</v>
      </c>
      <c r="E496" s="11">
        <v>36</v>
      </c>
      <c r="F496" s="12" t="s">
        <v>557</v>
      </c>
      <c r="G496" s="11">
        <v>3</v>
      </c>
      <c r="H496" s="11"/>
      <c r="I496" s="6" t="str">
        <f t="shared" si="7"/>
        <v>yokkkk</v>
      </c>
      <c r="J496" s="21"/>
      <c r="K496" s="22"/>
      <c r="L496" s="21"/>
      <c r="M496" s="21"/>
    </row>
    <row r="497" spans="1:13" ht="17.25" customHeight="1">
      <c r="A497" s="19">
        <v>115</v>
      </c>
      <c r="B497" s="5" t="s">
        <v>98</v>
      </c>
      <c r="C497" s="5" t="s">
        <v>757</v>
      </c>
      <c r="D497" s="5" t="s">
        <v>758</v>
      </c>
      <c r="E497" s="11">
        <v>37</v>
      </c>
      <c r="F497" s="12" t="s">
        <v>558</v>
      </c>
      <c r="G497" s="11">
        <v>4</v>
      </c>
      <c r="H497" s="11"/>
      <c r="I497" s="6" t="str">
        <f t="shared" si="7"/>
        <v>yokkkk</v>
      </c>
      <c r="J497" s="21"/>
      <c r="K497" s="22"/>
      <c r="L497" s="21"/>
      <c r="M497" s="21"/>
    </row>
    <row r="498" spans="1:13" ht="17.25" customHeight="1">
      <c r="A498" s="19">
        <v>115</v>
      </c>
      <c r="B498" s="5" t="s">
        <v>98</v>
      </c>
      <c r="C498" s="5" t="s">
        <v>757</v>
      </c>
      <c r="D498" s="5" t="s">
        <v>758</v>
      </c>
      <c r="E498" s="11">
        <v>38</v>
      </c>
      <c r="F498" s="12" t="s">
        <v>534</v>
      </c>
      <c r="G498" s="11">
        <v>5</v>
      </c>
      <c r="H498" s="11"/>
      <c r="I498" s="6" t="str">
        <f t="shared" si="7"/>
        <v>yokkkk</v>
      </c>
      <c r="J498" s="21"/>
      <c r="K498" s="22"/>
      <c r="L498" s="21"/>
      <c r="M498" s="21"/>
    </row>
    <row r="499" spans="1:13" ht="17.25" customHeight="1">
      <c r="A499" s="19">
        <v>50</v>
      </c>
      <c r="B499" s="5" t="s">
        <v>52</v>
      </c>
      <c r="C499" s="5" t="s">
        <v>674</v>
      </c>
      <c r="D499" s="5" t="s">
        <v>675</v>
      </c>
      <c r="E499" s="11"/>
      <c r="F499" s="12"/>
      <c r="G499" s="11"/>
      <c r="H499" s="11"/>
      <c r="I499" s="6" t="str">
        <f t="shared" si="7"/>
        <v>yokkkk</v>
      </c>
      <c r="J499" s="21"/>
      <c r="K499" s="22"/>
      <c r="L499" s="21"/>
      <c r="M499" s="21"/>
    </row>
    <row r="500" spans="1:13" ht="17.25" customHeight="1">
      <c r="A500" s="19">
        <v>246</v>
      </c>
      <c r="B500" s="5" t="s">
        <v>153</v>
      </c>
      <c r="C500" s="5" t="s">
        <v>879</v>
      </c>
      <c r="D500" s="5" t="s">
        <v>353</v>
      </c>
      <c r="E500" s="11">
        <v>21</v>
      </c>
      <c r="F500" s="12" t="s">
        <v>950</v>
      </c>
      <c r="G500" s="11">
        <v>3</v>
      </c>
      <c r="H500" s="11"/>
      <c r="I500" s="6" t="str">
        <f t="shared" si="7"/>
        <v>yokkkk</v>
      </c>
      <c r="J500" s="21"/>
      <c r="K500" s="22"/>
      <c r="L500" s="21"/>
      <c r="M500" s="21"/>
    </row>
    <row r="501" spans="1:13" ht="17.25" customHeight="1">
      <c r="A501" s="19">
        <v>246</v>
      </c>
      <c r="B501" s="5" t="s">
        <v>153</v>
      </c>
      <c r="C501" s="5" t="s">
        <v>879</v>
      </c>
      <c r="D501" s="5" t="s">
        <v>353</v>
      </c>
      <c r="E501" s="11">
        <v>22</v>
      </c>
      <c r="F501" s="12" t="s">
        <v>956</v>
      </c>
      <c r="G501" s="11">
        <v>2</v>
      </c>
      <c r="H501" s="11"/>
      <c r="I501" s="6" t="str">
        <f t="shared" si="7"/>
        <v>yokkkk</v>
      </c>
      <c r="J501" s="21"/>
      <c r="K501" s="22"/>
      <c r="L501" s="21"/>
      <c r="M501" s="21"/>
    </row>
    <row r="502" spans="1:13" ht="17.25" customHeight="1">
      <c r="A502" s="19">
        <v>246</v>
      </c>
      <c r="B502" s="5" t="s">
        <v>153</v>
      </c>
      <c r="C502" s="5" t="s">
        <v>879</v>
      </c>
      <c r="D502" s="5" t="s">
        <v>353</v>
      </c>
      <c r="E502" s="11">
        <v>31</v>
      </c>
      <c r="F502" s="12" t="s">
        <v>946</v>
      </c>
      <c r="G502" s="11">
        <v>1</v>
      </c>
      <c r="H502" s="11"/>
      <c r="I502" s="6" t="str">
        <f t="shared" si="7"/>
        <v>yokkkk</v>
      </c>
      <c r="J502" s="21"/>
      <c r="K502" s="22"/>
      <c r="L502" s="21"/>
      <c r="M502" s="21"/>
    </row>
    <row r="503" spans="1:13" ht="17.25" customHeight="1">
      <c r="A503" s="19">
        <v>90</v>
      </c>
      <c r="B503" s="5" t="s">
        <v>82</v>
      </c>
      <c r="C503" s="5" t="s">
        <v>272</v>
      </c>
      <c r="D503" s="5" t="s">
        <v>61</v>
      </c>
      <c r="E503" s="11">
        <v>26</v>
      </c>
      <c r="F503" s="12" t="s">
        <v>947</v>
      </c>
      <c r="G503" s="11">
        <v>1</v>
      </c>
      <c r="H503" s="11"/>
      <c r="I503" s="6" t="str">
        <f t="shared" si="7"/>
        <v>yokkkk</v>
      </c>
      <c r="J503" s="21"/>
      <c r="K503" s="22"/>
      <c r="L503" s="21"/>
      <c r="M503" s="21"/>
    </row>
    <row r="504" spans="1:13" ht="17.25" customHeight="1">
      <c r="A504" s="19">
        <v>90</v>
      </c>
      <c r="B504" s="5" t="s">
        <v>82</v>
      </c>
      <c r="C504" s="5" t="s">
        <v>272</v>
      </c>
      <c r="D504" s="5" t="s">
        <v>61</v>
      </c>
      <c r="E504" s="11">
        <v>43</v>
      </c>
      <c r="F504" s="12" t="s">
        <v>10</v>
      </c>
      <c r="G504" s="11">
        <v>4</v>
      </c>
      <c r="H504" s="11"/>
      <c r="I504" s="6" t="str">
        <f t="shared" si="7"/>
        <v>yokkkk</v>
      </c>
      <c r="J504" s="21"/>
      <c r="K504" s="22"/>
      <c r="L504" s="21"/>
      <c r="M504" s="21"/>
    </row>
    <row r="505" spans="1:13" ht="17.25" customHeight="1">
      <c r="A505" s="19">
        <v>90</v>
      </c>
      <c r="B505" s="5" t="s">
        <v>82</v>
      </c>
      <c r="C505" s="5" t="s">
        <v>272</v>
      </c>
      <c r="D505" s="5" t="s">
        <v>61</v>
      </c>
      <c r="E505" s="11">
        <v>55</v>
      </c>
      <c r="F505" s="12" t="s">
        <v>238</v>
      </c>
      <c r="G505" s="11">
        <v>3</v>
      </c>
      <c r="H505" s="11"/>
      <c r="I505" s="6" t="str">
        <f t="shared" si="7"/>
        <v>yokkkk</v>
      </c>
      <c r="J505" s="21"/>
      <c r="K505" s="22"/>
      <c r="L505" s="21"/>
      <c r="M505" s="21"/>
    </row>
    <row r="506" spans="1:13" ht="17.25" customHeight="1">
      <c r="A506" s="19">
        <v>90</v>
      </c>
      <c r="B506" s="5" t="s">
        <v>82</v>
      </c>
      <c r="C506" s="5" t="s">
        <v>272</v>
      </c>
      <c r="D506" s="5" t="s">
        <v>61</v>
      </c>
      <c r="E506" s="11">
        <v>80</v>
      </c>
      <c r="F506" s="12" t="s">
        <v>945</v>
      </c>
      <c r="G506" s="11">
        <v>2</v>
      </c>
      <c r="H506" s="11"/>
      <c r="I506" s="6" t="str">
        <f t="shared" si="7"/>
        <v>yokkkk</v>
      </c>
      <c r="J506" s="21"/>
      <c r="K506" s="22"/>
      <c r="L506" s="21"/>
      <c r="M506" s="21"/>
    </row>
    <row r="507" spans="1:13" ht="17.25" customHeight="1">
      <c r="A507" s="19">
        <v>70</v>
      </c>
      <c r="B507" s="5" t="s">
        <v>65</v>
      </c>
      <c r="C507" s="5" t="s">
        <v>702</v>
      </c>
      <c r="D507" s="5" t="s">
        <v>703</v>
      </c>
      <c r="E507" s="11">
        <v>10</v>
      </c>
      <c r="F507" s="12" t="s">
        <v>538</v>
      </c>
      <c r="G507" s="11">
        <v>1</v>
      </c>
      <c r="H507" s="11"/>
      <c r="I507" s="6" t="str">
        <f t="shared" si="7"/>
        <v>yokkkk</v>
      </c>
      <c r="J507" s="21"/>
      <c r="K507" s="22"/>
      <c r="L507" s="21"/>
      <c r="M507" s="21"/>
    </row>
    <row r="508" spans="1:13" ht="17.25" customHeight="1">
      <c r="A508" s="19">
        <v>70</v>
      </c>
      <c r="B508" s="5" t="s">
        <v>65</v>
      </c>
      <c r="C508" s="5" t="s">
        <v>702</v>
      </c>
      <c r="D508" s="5" t="s">
        <v>703</v>
      </c>
      <c r="E508" s="11">
        <v>25</v>
      </c>
      <c r="F508" s="12" t="s">
        <v>550</v>
      </c>
      <c r="G508" s="11">
        <v>2</v>
      </c>
      <c r="H508" s="11"/>
      <c r="I508" s="6" t="str">
        <f t="shared" si="7"/>
        <v>yokkkk</v>
      </c>
      <c r="J508" s="21"/>
      <c r="K508" s="22"/>
      <c r="L508" s="21"/>
      <c r="M508" s="21"/>
    </row>
    <row r="509" spans="1:13" ht="17.25" customHeight="1">
      <c r="A509" s="19">
        <v>70</v>
      </c>
      <c r="B509" s="5" t="s">
        <v>65</v>
      </c>
      <c r="C509" s="5" t="s">
        <v>702</v>
      </c>
      <c r="D509" s="5" t="s">
        <v>703</v>
      </c>
      <c r="E509" s="11">
        <v>53</v>
      </c>
      <c r="F509" s="12" t="s">
        <v>562</v>
      </c>
      <c r="G509" s="11">
        <v>3</v>
      </c>
      <c r="H509" s="11"/>
      <c r="I509" s="6" t="str">
        <f t="shared" si="7"/>
        <v>yokkkk</v>
      </c>
      <c r="J509" s="21"/>
      <c r="K509" s="22"/>
      <c r="L509" s="21"/>
      <c r="M509" s="21"/>
    </row>
    <row r="510" spans="1:13" ht="17.25" customHeight="1">
      <c r="A510" s="19">
        <v>70</v>
      </c>
      <c r="B510" s="5" t="s">
        <v>65</v>
      </c>
      <c r="C510" s="5" t="s">
        <v>702</v>
      </c>
      <c r="D510" s="5" t="s">
        <v>703</v>
      </c>
      <c r="E510" s="11">
        <v>88</v>
      </c>
      <c r="F510" s="12" t="s">
        <v>953</v>
      </c>
      <c r="G510" s="11">
        <v>4</v>
      </c>
      <c r="H510" s="11"/>
      <c r="I510" s="6" t="str">
        <f t="shared" si="7"/>
        <v>yokkkk</v>
      </c>
      <c r="J510" s="21"/>
      <c r="K510" s="22"/>
      <c r="L510" s="21"/>
      <c r="M510" s="21"/>
    </row>
    <row r="511" spans="1:13" ht="17.25" customHeight="1">
      <c r="A511" s="19">
        <v>70</v>
      </c>
      <c r="B511" s="5" t="s">
        <v>65</v>
      </c>
      <c r="C511" s="5" t="s">
        <v>702</v>
      </c>
      <c r="D511" s="5" t="s">
        <v>703</v>
      </c>
      <c r="E511" s="11">
        <v>96</v>
      </c>
      <c r="F511" s="12" t="s">
        <v>938</v>
      </c>
      <c r="G511" s="11">
        <v>5</v>
      </c>
      <c r="H511" s="11"/>
      <c r="I511" s="6" t="str">
        <f t="shared" si="7"/>
        <v>yokkkk</v>
      </c>
      <c r="J511" s="21"/>
      <c r="K511" s="22"/>
      <c r="L511" s="21"/>
      <c r="M511" s="21"/>
    </row>
    <row r="512" spans="1:13" ht="17.25" customHeight="1">
      <c r="A512" s="19">
        <v>275</v>
      </c>
      <c r="B512" s="5" t="s">
        <v>164</v>
      </c>
      <c r="C512" s="5" t="s">
        <v>908</v>
      </c>
      <c r="D512" s="5" t="s">
        <v>909</v>
      </c>
      <c r="E512" s="11">
        <v>4</v>
      </c>
      <c r="F512" s="12" t="s">
        <v>3</v>
      </c>
      <c r="G512" s="11">
        <v>2</v>
      </c>
      <c r="H512" s="11"/>
      <c r="I512" s="6" t="str">
        <f t="shared" si="7"/>
        <v>yokkkk</v>
      </c>
      <c r="J512" s="21"/>
      <c r="K512" s="22"/>
      <c r="L512" s="21"/>
      <c r="M512" s="21"/>
    </row>
    <row r="513" spans="1:13" ht="17.25" customHeight="1">
      <c r="A513" s="19">
        <v>275</v>
      </c>
      <c r="B513" s="5" t="s">
        <v>164</v>
      </c>
      <c r="C513" s="5" t="s">
        <v>908</v>
      </c>
      <c r="D513" s="5" t="s">
        <v>909</v>
      </c>
      <c r="E513" s="11">
        <v>18</v>
      </c>
      <c r="F513" s="12" t="s">
        <v>9</v>
      </c>
      <c r="G513" s="11">
        <v>4</v>
      </c>
      <c r="H513" s="11"/>
      <c r="I513" s="6" t="str">
        <f t="shared" si="7"/>
        <v>yokkkk</v>
      </c>
      <c r="J513" s="21"/>
      <c r="K513" s="22"/>
      <c r="L513" s="21"/>
      <c r="M513" s="21"/>
    </row>
    <row r="514" spans="1:13" ht="17.25" customHeight="1">
      <c r="A514" s="19">
        <v>275</v>
      </c>
      <c r="B514" s="5" t="s">
        <v>164</v>
      </c>
      <c r="C514" s="5" t="s">
        <v>908</v>
      </c>
      <c r="D514" s="5" t="s">
        <v>909</v>
      </c>
      <c r="E514" s="11">
        <v>31</v>
      </c>
      <c r="F514" s="12" t="s">
        <v>946</v>
      </c>
      <c r="G514" s="11">
        <v>3</v>
      </c>
      <c r="H514" s="11"/>
      <c r="I514" s="6" t="str">
        <f t="shared" si="7"/>
        <v>yokkkk</v>
      </c>
      <c r="J514" s="21"/>
      <c r="K514" s="22"/>
      <c r="L514" s="21"/>
      <c r="M514" s="21"/>
    </row>
    <row r="515" spans="1:13" ht="17.25" customHeight="1">
      <c r="A515" s="19">
        <v>275</v>
      </c>
      <c r="B515" s="5" t="s">
        <v>164</v>
      </c>
      <c r="C515" s="5" t="s">
        <v>908</v>
      </c>
      <c r="D515" s="5" t="s">
        <v>909</v>
      </c>
      <c r="E515" s="11">
        <v>49</v>
      </c>
      <c r="F515" s="12" t="s">
        <v>6</v>
      </c>
      <c r="G515" s="11">
        <v>1</v>
      </c>
      <c r="H515" s="11"/>
      <c r="I515" s="6" t="str">
        <f t="shared" ref="I515:I578" si="8">IF(COUNTIF(J:J,A515)," var","yokkkk")</f>
        <v>yokkkk</v>
      </c>
      <c r="J515" s="21"/>
      <c r="K515" s="22"/>
      <c r="L515" s="21"/>
      <c r="M515" s="21"/>
    </row>
    <row r="516" spans="1:13" ht="17.25" customHeight="1">
      <c r="A516" s="19">
        <v>275</v>
      </c>
      <c r="B516" s="5" t="s">
        <v>164</v>
      </c>
      <c r="C516" s="5" t="s">
        <v>908</v>
      </c>
      <c r="D516" s="5" t="s">
        <v>909</v>
      </c>
      <c r="E516" s="11">
        <v>56</v>
      </c>
      <c r="F516" s="12" t="s">
        <v>948</v>
      </c>
      <c r="G516" s="11">
        <v>5</v>
      </c>
      <c r="H516" s="11"/>
      <c r="I516" s="6" t="str">
        <f t="shared" si="8"/>
        <v>yokkkk</v>
      </c>
      <c r="J516" s="21"/>
      <c r="K516" s="22"/>
      <c r="L516" s="21"/>
      <c r="M516" s="21"/>
    </row>
    <row r="517" spans="1:13" ht="17.25" customHeight="1">
      <c r="A517" s="19">
        <v>258</v>
      </c>
      <c r="B517" s="5" t="s">
        <v>158</v>
      </c>
      <c r="C517" s="5" t="s">
        <v>360</v>
      </c>
      <c r="D517" s="5" t="s">
        <v>361</v>
      </c>
      <c r="E517" s="11">
        <v>80</v>
      </c>
      <c r="F517" s="12" t="s">
        <v>945</v>
      </c>
      <c r="G517" s="11">
        <v>1</v>
      </c>
      <c r="H517" s="11"/>
      <c r="I517" s="6" t="str">
        <f t="shared" si="8"/>
        <v>yokkkk</v>
      </c>
      <c r="J517" s="21"/>
      <c r="K517" s="22"/>
      <c r="L517" s="21"/>
      <c r="M517" s="21"/>
    </row>
    <row r="518" spans="1:13" ht="17.25" customHeight="1">
      <c r="A518" s="19">
        <v>32</v>
      </c>
      <c r="B518" s="5" t="s">
        <v>37</v>
      </c>
      <c r="C518" s="5" t="s">
        <v>15</v>
      </c>
      <c r="D518" s="5" t="s">
        <v>90</v>
      </c>
      <c r="E518" s="11">
        <v>27</v>
      </c>
      <c r="F518" s="12" t="s">
        <v>569</v>
      </c>
      <c r="G518" s="11">
        <v>1</v>
      </c>
      <c r="H518" s="11"/>
      <c r="I518" s="6" t="str">
        <f t="shared" si="8"/>
        <v xml:space="preserve"> var</v>
      </c>
      <c r="J518" s="21"/>
      <c r="K518" s="22"/>
      <c r="L518" s="21"/>
      <c r="M518" s="21"/>
    </row>
    <row r="519" spans="1:13" ht="17.25" customHeight="1">
      <c r="A519" s="19">
        <v>97</v>
      </c>
      <c r="B519" s="5" t="s">
        <v>87</v>
      </c>
      <c r="C519" s="5" t="s">
        <v>1086</v>
      </c>
      <c r="D519" s="5" t="s">
        <v>276</v>
      </c>
      <c r="E519" s="11">
        <v>56</v>
      </c>
      <c r="F519" s="12" t="s">
        <v>948</v>
      </c>
      <c r="G519" s="11">
        <v>2</v>
      </c>
      <c r="H519" s="11"/>
      <c r="I519" s="6" t="str">
        <f t="shared" si="8"/>
        <v>yokkkk</v>
      </c>
      <c r="J519" s="21"/>
      <c r="K519" s="22"/>
      <c r="L519" s="21"/>
      <c r="M519" s="21"/>
    </row>
    <row r="520" spans="1:13" ht="17.25" customHeight="1">
      <c r="A520" s="19">
        <v>97</v>
      </c>
      <c r="B520" s="5" t="s">
        <v>87</v>
      </c>
      <c r="C520" s="5" t="s">
        <v>1086</v>
      </c>
      <c r="D520" s="5" t="s">
        <v>276</v>
      </c>
      <c r="E520" s="11">
        <v>67</v>
      </c>
      <c r="F520" s="12" t="s">
        <v>954</v>
      </c>
      <c r="G520" s="11">
        <v>1</v>
      </c>
      <c r="H520" s="11"/>
      <c r="I520" s="6" t="str">
        <f t="shared" si="8"/>
        <v>yokkkk</v>
      </c>
      <c r="J520" s="21"/>
      <c r="K520" s="22"/>
      <c r="L520" s="21"/>
      <c r="M520" s="21"/>
    </row>
    <row r="521" spans="1:13" ht="17.25" customHeight="1">
      <c r="A521" s="19">
        <v>137</v>
      </c>
      <c r="B521" s="5" t="s">
        <v>104</v>
      </c>
      <c r="C521" s="5" t="s">
        <v>777</v>
      </c>
      <c r="D521" s="5" t="s">
        <v>778</v>
      </c>
      <c r="E521" s="11">
        <v>28</v>
      </c>
      <c r="F521" s="12" t="s">
        <v>570</v>
      </c>
      <c r="G521" s="11">
        <v>1</v>
      </c>
      <c r="H521" s="11"/>
      <c r="I521" s="6" t="str">
        <f t="shared" si="8"/>
        <v>yokkkk</v>
      </c>
      <c r="J521" s="21"/>
      <c r="K521" s="22"/>
      <c r="L521" s="21"/>
      <c r="M521" s="21"/>
    </row>
    <row r="522" spans="1:13" ht="17.25" customHeight="1">
      <c r="A522" s="19">
        <v>137</v>
      </c>
      <c r="B522" s="5" t="s">
        <v>104</v>
      </c>
      <c r="C522" s="5" t="s">
        <v>777</v>
      </c>
      <c r="D522" s="5" t="s">
        <v>778</v>
      </c>
      <c r="E522" s="11">
        <v>30</v>
      </c>
      <c r="F522" s="12" t="s">
        <v>572</v>
      </c>
      <c r="G522" s="11">
        <v>4</v>
      </c>
      <c r="H522" s="11"/>
      <c r="I522" s="6" t="str">
        <f t="shared" si="8"/>
        <v>yokkkk</v>
      </c>
      <c r="J522" s="21"/>
      <c r="K522" s="22"/>
      <c r="L522" s="21"/>
      <c r="M522" s="21"/>
    </row>
    <row r="523" spans="1:13" ht="17.25" customHeight="1">
      <c r="A523" s="19">
        <v>137</v>
      </c>
      <c r="B523" s="5" t="s">
        <v>104</v>
      </c>
      <c r="C523" s="5" t="s">
        <v>777</v>
      </c>
      <c r="D523" s="5" t="s">
        <v>778</v>
      </c>
      <c r="E523" s="11">
        <v>57</v>
      </c>
      <c r="F523" s="12" t="s">
        <v>552</v>
      </c>
      <c r="G523" s="11">
        <v>2</v>
      </c>
      <c r="H523" s="11"/>
      <c r="I523" s="6" t="str">
        <f t="shared" si="8"/>
        <v>yokkkk</v>
      </c>
      <c r="J523" s="21"/>
      <c r="K523" s="22"/>
      <c r="L523" s="21"/>
      <c r="M523" s="21"/>
    </row>
    <row r="524" spans="1:13" ht="17.25" customHeight="1">
      <c r="A524" s="19">
        <v>137</v>
      </c>
      <c r="B524" s="5" t="s">
        <v>104</v>
      </c>
      <c r="C524" s="5" t="s">
        <v>777</v>
      </c>
      <c r="D524" s="5" t="s">
        <v>778</v>
      </c>
      <c r="E524" s="11">
        <v>81</v>
      </c>
      <c r="F524" s="12" t="s">
        <v>546</v>
      </c>
      <c r="G524" s="11">
        <v>3</v>
      </c>
      <c r="H524" s="11"/>
      <c r="I524" s="6" t="str">
        <f t="shared" si="8"/>
        <v>yokkkk</v>
      </c>
      <c r="J524" s="21"/>
      <c r="K524" s="22"/>
      <c r="L524" s="21"/>
      <c r="M524" s="21"/>
    </row>
    <row r="525" spans="1:13" ht="17.25" customHeight="1">
      <c r="A525" s="19">
        <v>137</v>
      </c>
      <c r="B525" s="5" t="s">
        <v>104</v>
      </c>
      <c r="C525" s="5" t="s">
        <v>777</v>
      </c>
      <c r="D525" s="5" t="s">
        <v>778</v>
      </c>
      <c r="E525" s="11">
        <v>85</v>
      </c>
      <c r="F525" s="12" t="s">
        <v>580</v>
      </c>
      <c r="G525" s="11">
        <v>5</v>
      </c>
      <c r="H525" s="11"/>
      <c r="I525" s="6" t="str">
        <f t="shared" si="8"/>
        <v>yokkkk</v>
      </c>
      <c r="J525" s="21"/>
      <c r="K525" s="22"/>
      <c r="L525" s="21"/>
      <c r="M525" s="21"/>
    </row>
    <row r="526" spans="1:13" ht="17.25" customHeight="1">
      <c r="A526" s="19">
        <v>39</v>
      </c>
      <c r="B526" s="5" t="s">
        <v>15</v>
      </c>
      <c r="C526" s="5" t="s">
        <v>653</v>
      </c>
      <c r="D526" s="5" t="s">
        <v>654</v>
      </c>
      <c r="E526" s="11">
        <v>4</v>
      </c>
      <c r="F526" s="12" t="s">
        <v>3</v>
      </c>
      <c r="G526" s="11">
        <v>3</v>
      </c>
      <c r="H526" s="11"/>
      <c r="I526" s="6" t="str">
        <f t="shared" si="8"/>
        <v xml:space="preserve"> var</v>
      </c>
      <c r="J526" s="21"/>
      <c r="K526" s="22"/>
      <c r="L526" s="21"/>
      <c r="M526" s="21"/>
    </row>
    <row r="527" spans="1:13" ht="17.25" customHeight="1">
      <c r="A527" s="19">
        <v>39</v>
      </c>
      <c r="B527" s="5" t="s">
        <v>15</v>
      </c>
      <c r="C527" s="5" t="s">
        <v>653</v>
      </c>
      <c r="D527" s="5" t="s">
        <v>654</v>
      </c>
      <c r="E527" s="11">
        <v>26</v>
      </c>
      <c r="F527" s="12" t="s">
        <v>947</v>
      </c>
      <c r="G527" s="11">
        <v>1</v>
      </c>
      <c r="H527" s="11"/>
      <c r="I527" s="6" t="str">
        <f t="shared" si="8"/>
        <v xml:space="preserve"> var</v>
      </c>
      <c r="J527" s="21"/>
      <c r="K527" s="22"/>
      <c r="L527" s="21"/>
      <c r="M527" s="21"/>
    </row>
    <row r="528" spans="1:13" ht="17.25" customHeight="1">
      <c r="A528" s="19">
        <v>39</v>
      </c>
      <c r="B528" s="5" t="s">
        <v>15</v>
      </c>
      <c r="C528" s="5" t="s">
        <v>653</v>
      </c>
      <c r="D528" s="5" t="s">
        <v>654</v>
      </c>
      <c r="E528" s="11">
        <v>55</v>
      </c>
      <c r="F528" s="12" t="s">
        <v>238</v>
      </c>
      <c r="G528" s="11">
        <v>4</v>
      </c>
      <c r="H528" s="11"/>
      <c r="I528" s="6" t="str">
        <f t="shared" si="8"/>
        <v xml:space="preserve"> var</v>
      </c>
      <c r="J528" s="21"/>
      <c r="K528" s="22"/>
      <c r="L528" s="21"/>
      <c r="M528" s="21"/>
    </row>
    <row r="529" spans="1:13" ht="17.25" customHeight="1">
      <c r="A529" s="19">
        <v>39</v>
      </c>
      <c r="B529" s="5" t="s">
        <v>15</v>
      </c>
      <c r="C529" s="5" t="s">
        <v>653</v>
      </c>
      <c r="D529" s="5" t="s">
        <v>654</v>
      </c>
      <c r="E529" s="11">
        <v>80</v>
      </c>
      <c r="F529" s="12" t="s">
        <v>945</v>
      </c>
      <c r="G529" s="11">
        <v>5</v>
      </c>
      <c r="H529" s="11"/>
      <c r="I529" s="6" t="str">
        <f t="shared" si="8"/>
        <v xml:space="preserve"> var</v>
      </c>
      <c r="J529" s="21"/>
      <c r="K529" s="22"/>
      <c r="L529" s="21"/>
      <c r="M529" s="21"/>
    </row>
    <row r="530" spans="1:13" ht="17.25" customHeight="1">
      <c r="A530" s="19">
        <v>39</v>
      </c>
      <c r="B530" s="5" t="s">
        <v>15</v>
      </c>
      <c r="C530" s="5" t="s">
        <v>653</v>
      </c>
      <c r="D530" s="5" t="s">
        <v>654</v>
      </c>
      <c r="E530" s="11">
        <v>84</v>
      </c>
      <c r="F530" s="12" t="s">
        <v>237</v>
      </c>
      <c r="G530" s="11">
        <v>2</v>
      </c>
      <c r="H530" s="11"/>
      <c r="I530" s="6" t="str">
        <f t="shared" si="8"/>
        <v xml:space="preserve"> var</v>
      </c>
      <c r="J530" s="21"/>
      <c r="K530" s="22"/>
      <c r="L530" s="21"/>
      <c r="M530" s="21"/>
    </row>
    <row r="531" spans="1:13" ht="17.25" customHeight="1">
      <c r="A531" s="19">
        <v>59</v>
      </c>
      <c r="B531" s="5" t="s">
        <v>62</v>
      </c>
      <c r="C531" s="5" t="s">
        <v>689</v>
      </c>
      <c r="D531" s="5" t="s">
        <v>356</v>
      </c>
      <c r="E531" s="11">
        <v>27</v>
      </c>
      <c r="F531" s="12" t="s">
        <v>569</v>
      </c>
      <c r="G531" s="11">
        <v>1</v>
      </c>
      <c r="H531" s="11"/>
      <c r="I531" s="6" t="str">
        <f t="shared" si="8"/>
        <v>yokkkk</v>
      </c>
      <c r="J531" s="21"/>
      <c r="K531" s="22"/>
      <c r="L531" s="21"/>
      <c r="M531" s="21"/>
    </row>
    <row r="532" spans="1:13" ht="17.25" customHeight="1">
      <c r="A532" s="19">
        <v>59</v>
      </c>
      <c r="B532" s="5" t="s">
        <v>62</v>
      </c>
      <c r="C532" s="5" t="s">
        <v>689</v>
      </c>
      <c r="D532" s="5" t="s">
        <v>356</v>
      </c>
      <c r="E532" s="11">
        <v>47</v>
      </c>
      <c r="F532" s="12" t="s">
        <v>944</v>
      </c>
      <c r="G532" s="11">
        <v>2</v>
      </c>
      <c r="H532" s="11"/>
      <c r="I532" s="6" t="str">
        <f t="shared" si="8"/>
        <v>yokkkk</v>
      </c>
      <c r="J532" s="21"/>
      <c r="K532" s="22"/>
      <c r="L532" s="21"/>
      <c r="M532" s="21"/>
    </row>
    <row r="533" spans="1:13" ht="17.25" customHeight="1">
      <c r="A533" s="19">
        <v>59</v>
      </c>
      <c r="B533" s="5" t="s">
        <v>62</v>
      </c>
      <c r="C533" s="5" t="s">
        <v>689</v>
      </c>
      <c r="D533" s="5" t="s">
        <v>356</v>
      </c>
      <c r="E533" s="11">
        <v>50</v>
      </c>
      <c r="F533" s="12" t="s">
        <v>559</v>
      </c>
      <c r="G533" s="11">
        <v>3</v>
      </c>
      <c r="H533" s="11"/>
      <c r="I533" s="6" t="str">
        <f t="shared" si="8"/>
        <v>yokkkk</v>
      </c>
      <c r="J533" s="21"/>
      <c r="K533" s="22"/>
      <c r="L533" s="21"/>
      <c r="M533" s="21"/>
    </row>
    <row r="534" spans="1:13" ht="17.25" customHeight="1">
      <c r="A534" s="19">
        <v>59</v>
      </c>
      <c r="B534" s="5" t="s">
        <v>62</v>
      </c>
      <c r="C534" s="5" t="s">
        <v>689</v>
      </c>
      <c r="D534" s="5" t="s">
        <v>356</v>
      </c>
      <c r="E534" s="11">
        <v>97</v>
      </c>
      <c r="F534" s="12" t="s">
        <v>939</v>
      </c>
      <c r="G534" s="11">
        <v>4</v>
      </c>
      <c r="H534" s="11"/>
      <c r="I534" s="6" t="str">
        <f t="shared" si="8"/>
        <v>yokkkk</v>
      </c>
      <c r="J534" s="21"/>
      <c r="K534" s="22"/>
      <c r="L534" s="21"/>
      <c r="M534" s="21"/>
    </row>
    <row r="535" spans="1:13" ht="17.25" customHeight="1">
      <c r="A535" s="19">
        <v>243</v>
      </c>
      <c r="B535" s="5" t="s">
        <v>152</v>
      </c>
      <c r="C535" s="5" t="s">
        <v>195</v>
      </c>
      <c r="D535" s="5" t="s">
        <v>877</v>
      </c>
      <c r="E535" s="11">
        <v>60</v>
      </c>
      <c r="F535" s="12" t="s">
        <v>555</v>
      </c>
      <c r="G535" s="11">
        <v>1</v>
      </c>
      <c r="H535" s="11"/>
      <c r="I535" s="6" t="str">
        <f t="shared" si="8"/>
        <v>yokkkk</v>
      </c>
      <c r="J535" s="21"/>
      <c r="K535" s="22"/>
      <c r="L535" s="21"/>
      <c r="M535" s="21"/>
    </row>
    <row r="536" spans="1:13" ht="17.25" customHeight="1">
      <c r="A536" s="19">
        <v>210</v>
      </c>
      <c r="B536" s="5" t="s">
        <v>136</v>
      </c>
      <c r="C536" s="5" t="s">
        <v>841</v>
      </c>
      <c r="D536" s="5" t="s">
        <v>842</v>
      </c>
      <c r="E536" s="11">
        <v>34</v>
      </c>
      <c r="F536" s="12" t="s">
        <v>8</v>
      </c>
      <c r="G536" s="11">
        <v>2</v>
      </c>
      <c r="H536" s="11"/>
      <c r="I536" s="6" t="str">
        <f t="shared" si="8"/>
        <v>yokkkk</v>
      </c>
      <c r="J536" s="21"/>
      <c r="K536" s="22"/>
      <c r="L536" s="21"/>
      <c r="M536" s="21"/>
    </row>
    <row r="537" spans="1:13" ht="17.25" customHeight="1">
      <c r="A537" s="19">
        <v>210</v>
      </c>
      <c r="B537" s="5" t="s">
        <v>136</v>
      </c>
      <c r="C537" s="5" t="s">
        <v>841</v>
      </c>
      <c r="D537" s="5" t="s">
        <v>842</v>
      </c>
      <c r="E537" s="11">
        <v>49</v>
      </c>
      <c r="F537" s="12" t="s">
        <v>6</v>
      </c>
      <c r="G537" s="11">
        <v>3</v>
      </c>
      <c r="H537" s="11"/>
      <c r="I537" s="6" t="str">
        <f t="shared" si="8"/>
        <v>yokkkk</v>
      </c>
      <c r="J537" s="21"/>
      <c r="K537" s="22"/>
      <c r="L537" s="21"/>
      <c r="M537" s="21"/>
    </row>
    <row r="538" spans="1:13" ht="17.25" customHeight="1">
      <c r="A538" s="19">
        <v>210</v>
      </c>
      <c r="B538" s="5" t="s">
        <v>136</v>
      </c>
      <c r="C538" s="5" t="s">
        <v>841</v>
      </c>
      <c r="D538" s="5" t="s">
        <v>842</v>
      </c>
      <c r="E538" s="11">
        <v>89</v>
      </c>
      <c r="F538" s="12" t="s">
        <v>2</v>
      </c>
      <c r="G538" s="11">
        <v>1</v>
      </c>
      <c r="H538" s="11"/>
      <c r="I538" s="6" t="str">
        <f t="shared" si="8"/>
        <v>yokkkk</v>
      </c>
      <c r="J538" s="21"/>
      <c r="K538" s="22"/>
      <c r="L538" s="21"/>
      <c r="M538" s="21"/>
    </row>
    <row r="539" spans="1:13" ht="17.25" customHeight="1">
      <c r="A539" s="19">
        <v>71</v>
      </c>
      <c r="B539" s="5" t="s">
        <v>66</v>
      </c>
      <c r="C539" s="5" t="s">
        <v>705</v>
      </c>
      <c r="D539" s="5" t="s">
        <v>251</v>
      </c>
      <c r="E539" s="11">
        <v>4</v>
      </c>
      <c r="F539" s="12" t="s">
        <v>3</v>
      </c>
      <c r="G539" s="11">
        <v>2</v>
      </c>
      <c r="H539" s="11"/>
      <c r="I539" s="6" t="str">
        <f t="shared" si="8"/>
        <v>yokkkk</v>
      </c>
      <c r="J539" s="21"/>
      <c r="K539" s="22"/>
      <c r="L539" s="21"/>
      <c r="M539" s="21"/>
    </row>
    <row r="540" spans="1:13" ht="17.25" customHeight="1">
      <c r="A540" s="19">
        <v>71</v>
      </c>
      <c r="B540" s="5" t="s">
        <v>66</v>
      </c>
      <c r="C540" s="5" t="s">
        <v>705</v>
      </c>
      <c r="D540" s="5" t="s">
        <v>251</v>
      </c>
      <c r="E540" s="11">
        <v>26</v>
      </c>
      <c r="F540" s="12" t="s">
        <v>947</v>
      </c>
      <c r="G540" s="11">
        <v>3</v>
      </c>
      <c r="H540" s="11"/>
      <c r="I540" s="6" t="str">
        <f t="shared" si="8"/>
        <v>yokkkk</v>
      </c>
      <c r="J540" s="21"/>
      <c r="K540" s="22"/>
      <c r="L540" s="21"/>
      <c r="M540" s="21"/>
    </row>
    <row r="541" spans="1:13" ht="17.25" customHeight="1">
      <c r="A541" s="19">
        <v>71</v>
      </c>
      <c r="B541" s="5" t="s">
        <v>66</v>
      </c>
      <c r="C541" s="5" t="s">
        <v>705</v>
      </c>
      <c r="D541" s="5" t="s">
        <v>251</v>
      </c>
      <c r="E541" s="11">
        <v>55</v>
      </c>
      <c r="F541" s="12" t="s">
        <v>238</v>
      </c>
      <c r="G541" s="11">
        <v>5</v>
      </c>
      <c r="H541" s="11"/>
      <c r="I541" s="6" t="str">
        <f t="shared" si="8"/>
        <v>yokkkk</v>
      </c>
      <c r="J541" s="21"/>
      <c r="K541" s="22"/>
      <c r="L541" s="21"/>
      <c r="M541" s="21"/>
    </row>
    <row r="542" spans="1:13" ht="17.25" customHeight="1">
      <c r="A542" s="19">
        <v>71</v>
      </c>
      <c r="B542" s="5" t="s">
        <v>66</v>
      </c>
      <c r="C542" s="5" t="s">
        <v>705</v>
      </c>
      <c r="D542" s="5" t="s">
        <v>251</v>
      </c>
      <c r="E542" s="11">
        <v>81</v>
      </c>
      <c r="F542" s="12" t="s">
        <v>546</v>
      </c>
      <c r="G542" s="11">
        <v>1</v>
      </c>
      <c r="H542" s="11"/>
      <c r="I542" s="6" t="str">
        <f t="shared" si="8"/>
        <v>yokkkk</v>
      </c>
      <c r="J542" s="21"/>
      <c r="K542" s="22"/>
      <c r="L542" s="21"/>
      <c r="M542" s="21"/>
    </row>
    <row r="543" spans="1:13" ht="17.25" customHeight="1">
      <c r="A543" s="19">
        <v>71</v>
      </c>
      <c r="B543" s="5" t="s">
        <v>66</v>
      </c>
      <c r="C543" s="5" t="s">
        <v>705</v>
      </c>
      <c r="D543" s="5" t="s">
        <v>251</v>
      </c>
      <c r="E543" s="11">
        <v>82</v>
      </c>
      <c r="F543" s="12" t="s">
        <v>547</v>
      </c>
      <c r="G543" s="11">
        <v>4</v>
      </c>
      <c r="H543" s="11"/>
      <c r="I543" s="6" t="str">
        <f t="shared" si="8"/>
        <v>yokkkk</v>
      </c>
      <c r="J543" s="21"/>
      <c r="K543" s="22"/>
      <c r="L543" s="21"/>
      <c r="M543" s="21"/>
    </row>
    <row r="544" spans="1:13" ht="17.25" customHeight="1">
      <c r="A544" s="19">
        <v>213</v>
      </c>
      <c r="B544" s="5" t="s">
        <v>138</v>
      </c>
      <c r="C544" s="5" t="s">
        <v>844</v>
      </c>
      <c r="D544" s="5" t="s">
        <v>340</v>
      </c>
      <c r="E544" s="11">
        <v>22</v>
      </c>
      <c r="F544" s="12" t="s">
        <v>956</v>
      </c>
      <c r="G544" s="11">
        <v>1</v>
      </c>
      <c r="H544" s="11"/>
      <c r="I544" s="6" t="str">
        <f t="shared" si="8"/>
        <v>yokkkk</v>
      </c>
      <c r="J544" s="21"/>
      <c r="K544" s="22"/>
      <c r="L544" s="21"/>
      <c r="M544" s="21"/>
    </row>
    <row r="545" spans="1:13" ht="17.25" customHeight="1">
      <c r="A545" s="19">
        <v>163</v>
      </c>
      <c r="B545" s="5" t="s">
        <v>111</v>
      </c>
      <c r="C545" s="5" t="s">
        <v>802</v>
      </c>
      <c r="D545" s="5" t="s">
        <v>282</v>
      </c>
      <c r="E545" s="11">
        <v>31</v>
      </c>
      <c r="F545" s="12" t="s">
        <v>946</v>
      </c>
      <c r="G545" s="11">
        <v>1</v>
      </c>
      <c r="H545" s="11"/>
      <c r="I545" s="6" t="str">
        <f t="shared" si="8"/>
        <v>yokkkk</v>
      </c>
      <c r="J545" s="21"/>
      <c r="K545" s="22"/>
      <c r="L545" s="21"/>
      <c r="M545" s="21"/>
    </row>
    <row r="546" spans="1:13" ht="17.25" customHeight="1">
      <c r="A546" s="19">
        <v>163</v>
      </c>
      <c r="B546" s="5" t="s">
        <v>111</v>
      </c>
      <c r="C546" s="5" t="s">
        <v>802</v>
      </c>
      <c r="D546" s="5" t="s">
        <v>282</v>
      </c>
      <c r="E546" s="11">
        <v>54</v>
      </c>
      <c r="F546" s="12" t="s">
        <v>533</v>
      </c>
      <c r="G546" s="11">
        <v>2</v>
      </c>
      <c r="H546" s="11"/>
      <c r="I546" s="6" t="str">
        <f t="shared" si="8"/>
        <v>yokkkk</v>
      </c>
      <c r="J546" s="21"/>
      <c r="K546" s="22"/>
      <c r="L546" s="21"/>
      <c r="M546" s="21"/>
    </row>
    <row r="547" spans="1:13" ht="17.25" customHeight="1">
      <c r="A547" s="19">
        <v>66</v>
      </c>
      <c r="B547" s="5" t="s">
        <v>65</v>
      </c>
      <c r="C547" s="5" t="s">
        <v>260</v>
      </c>
      <c r="D547" s="5" t="s">
        <v>76</v>
      </c>
      <c r="E547" s="11">
        <v>4</v>
      </c>
      <c r="F547" s="12" t="s">
        <v>3</v>
      </c>
      <c r="G547" s="11">
        <v>3</v>
      </c>
      <c r="H547" s="11"/>
      <c r="I547" s="6" t="str">
        <f t="shared" si="8"/>
        <v>yokkkk</v>
      </c>
      <c r="J547" s="21"/>
      <c r="K547" s="22"/>
      <c r="L547" s="21"/>
      <c r="M547" s="21"/>
    </row>
    <row r="548" spans="1:13" ht="17.25" customHeight="1">
      <c r="A548" s="19">
        <v>66</v>
      </c>
      <c r="B548" s="5" t="s">
        <v>65</v>
      </c>
      <c r="C548" s="5" t="s">
        <v>260</v>
      </c>
      <c r="D548" s="5" t="s">
        <v>76</v>
      </c>
      <c r="E548" s="11">
        <v>18</v>
      </c>
      <c r="F548" s="12" t="s">
        <v>9</v>
      </c>
      <c r="G548" s="11">
        <v>4</v>
      </c>
      <c r="H548" s="11"/>
      <c r="I548" s="6" t="str">
        <f t="shared" si="8"/>
        <v>yokkkk</v>
      </c>
      <c r="J548" s="21"/>
      <c r="K548" s="22"/>
      <c r="L548" s="21"/>
      <c r="M548" s="21"/>
    </row>
    <row r="549" spans="1:13" ht="17.25" customHeight="1">
      <c r="A549" s="19">
        <v>66</v>
      </c>
      <c r="B549" s="5" t="s">
        <v>65</v>
      </c>
      <c r="C549" s="5" t="s">
        <v>260</v>
      </c>
      <c r="D549" s="5" t="s">
        <v>76</v>
      </c>
      <c r="E549" s="11">
        <v>34</v>
      </c>
      <c r="F549" s="12" t="s">
        <v>8</v>
      </c>
      <c r="G549" s="11">
        <v>2</v>
      </c>
      <c r="H549" s="11"/>
      <c r="I549" s="6" t="str">
        <f t="shared" si="8"/>
        <v>yokkkk</v>
      </c>
      <c r="J549" s="21"/>
      <c r="K549" s="22"/>
      <c r="L549" s="21"/>
      <c r="M549" s="21"/>
    </row>
    <row r="550" spans="1:13" ht="17.25" customHeight="1">
      <c r="A550" s="19">
        <v>66</v>
      </c>
      <c r="B550" s="5" t="s">
        <v>65</v>
      </c>
      <c r="C550" s="5" t="s">
        <v>260</v>
      </c>
      <c r="D550" s="5" t="s">
        <v>76</v>
      </c>
      <c r="E550" s="11">
        <v>1</v>
      </c>
      <c r="F550" s="12" t="s">
        <v>524</v>
      </c>
      <c r="G550" s="11">
        <v>5</v>
      </c>
      <c r="H550" s="11"/>
      <c r="I550" s="6" t="str">
        <f t="shared" si="8"/>
        <v>yokkkk</v>
      </c>
      <c r="J550" s="21"/>
      <c r="K550" s="22"/>
      <c r="L550" s="21"/>
      <c r="M550" s="21"/>
    </row>
    <row r="551" spans="1:13" ht="17.25" customHeight="1">
      <c r="A551" s="19">
        <v>66</v>
      </c>
      <c r="B551" s="5" t="s">
        <v>65</v>
      </c>
      <c r="C551" s="5" t="s">
        <v>260</v>
      </c>
      <c r="D551" s="5" t="s">
        <v>76</v>
      </c>
      <c r="E551" s="11">
        <v>89</v>
      </c>
      <c r="F551" s="12" t="s">
        <v>2</v>
      </c>
      <c r="G551" s="11">
        <v>1</v>
      </c>
      <c r="H551" s="11"/>
      <c r="I551" s="6" t="str">
        <f t="shared" si="8"/>
        <v>yokkkk</v>
      </c>
      <c r="J551" s="21"/>
      <c r="K551" s="22"/>
      <c r="L551" s="21"/>
      <c r="M551" s="21"/>
    </row>
    <row r="552" spans="1:13" ht="17.25" customHeight="1">
      <c r="A552" s="19">
        <v>269</v>
      </c>
      <c r="B552" s="5" t="s">
        <v>162</v>
      </c>
      <c r="C552" s="5" t="s">
        <v>902</v>
      </c>
      <c r="D552" s="5" t="s">
        <v>353</v>
      </c>
      <c r="E552" s="11">
        <v>55</v>
      </c>
      <c r="F552" s="12" t="s">
        <v>238</v>
      </c>
      <c r="G552" s="11">
        <v>3</v>
      </c>
      <c r="H552" s="11"/>
      <c r="I552" s="6" t="str">
        <f t="shared" si="8"/>
        <v>yokkkk</v>
      </c>
      <c r="J552" s="21"/>
      <c r="K552" s="22"/>
      <c r="L552" s="21"/>
      <c r="M552" s="21"/>
    </row>
    <row r="553" spans="1:13" ht="17.25" customHeight="1">
      <c r="A553" s="19">
        <v>269</v>
      </c>
      <c r="B553" s="5" t="s">
        <v>162</v>
      </c>
      <c r="C553" s="5" t="s">
        <v>902</v>
      </c>
      <c r="D553" s="5" t="s">
        <v>353</v>
      </c>
      <c r="E553" s="11">
        <v>56</v>
      </c>
      <c r="F553" s="12" t="s">
        <v>948</v>
      </c>
      <c r="G553" s="11">
        <v>2</v>
      </c>
      <c r="H553" s="11"/>
      <c r="I553" s="6" t="str">
        <f t="shared" si="8"/>
        <v>yokkkk</v>
      </c>
      <c r="J553" s="21"/>
      <c r="K553" s="22"/>
      <c r="L553" s="21"/>
      <c r="M553" s="21"/>
    </row>
    <row r="554" spans="1:13" ht="17.25" customHeight="1">
      <c r="A554" s="19">
        <v>269</v>
      </c>
      <c r="B554" s="5" t="s">
        <v>162</v>
      </c>
      <c r="C554" s="5" t="s">
        <v>902</v>
      </c>
      <c r="D554" s="5" t="s">
        <v>353</v>
      </c>
      <c r="E554" s="11">
        <v>80</v>
      </c>
      <c r="F554" s="12" t="s">
        <v>945</v>
      </c>
      <c r="G554" s="11">
        <v>1</v>
      </c>
      <c r="H554" s="11"/>
      <c r="I554" s="6" t="str">
        <f t="shared" si="8"/>
        <v>yokkkk</v>
      </c>
      <c r="J554" s="21"/>
      <c r="K554" s="22"/>
      <c r="L554" s="21"/>
      <c r="M554" s="21"/>
    </row>
    <row r="555" spans="1:13" ht="17.25" customHeight="1">
      <c r="A555" s="19">
        <v>260</v>
      </c>
      <c r="B555" s="5" t="s">
        <v>159</v>
      </c>
      <c r="C555" s="5" t="s">
        <v>890</v>
      </c>
      <c r="D555" s="5" t="s">
        <v>891</v>
      </c>
      <c r="E555" s="11">
        <v>20</v>
      </c>
      <c r="F555" s="12" t="s">
        <v>581</v>
      </c>
      <c r="G555" s="11">
        <v>2</v>
      </c>
      <c r="H555" s="11"/>
      <c r="I555" s="6" t="str">
        <f t="shared" si="8"/>
        <v>yokkkk</v>
      </c>
      <c r="J555" s="21"/>
      <c r="K555" s="22"/>
      <c r="L555" s="21"/>
      <c r="M555" s="21"/>
    </row>
    <row r="556" spans="1:13" ht="17.25" customHeight="1">
      <c r="A556" s="19">
        <v>260</v>
      </c>
      <c r="B556" s="5" t="s">
        <v>159</v>
      </c>
      <c r="C556" s="5" t="s">
        <v>890</v>
      </c>
      <c r="D556" s="5" t="s">
        <v>891</v>
      </c>
      <c r="E556" s="11">
        <v>28</v>
      </c>
      <c r="F556" s="12" t="s">
        <v>570</v>
      </c>
      <c r="G556" s="11">
        <v>3</v>
      </c>
      <c r="H556" s="11"/>
      <c r="I556" s="6" t="str">
        <f t="shared" si="8"/>
        <v>yokkkk</v>
      </c>
      <c r="J556" s="21"/>
      <c r="K556" s="22"/>
      <c r="L556" s="21"/>
      <c r="M556" s="21"/>
    </row>
    <row r="557" spans="1:13" ht="17.25" customHeight="1">
      <c r="A557" s="19">
        <v>260</v>
      </c>
      <c r="B557" s="5" t="s">
        <v>159</v>
      </c>
      <c r="C557" s="5" t="s">
        <v>890</v>
      </c>
      <c r="D557" s="5" t="s">
        <v>891</v>
      </c>
      <c r="E557" s="11">
        <v>53</v>
      </c>
      <c r="F557" s="12" t="s">
        <v>562</v>
      </c>
      <c r="G557" s="11">
        <v>4</v>
      </c>
      <c r="H557" s="11"/>
      <c r="I557" s="6" t="str">
        <f t="shared" si="8"/>
        <v>yokkkk</v>
      </c>
      <c r="J557" s="21"/>
      <c r="K557" s="22"/>
      <c r="L557" s="21"/>
      <c r="M557" s="21"/>
    </row>
    <row r="558" spans="1:13" ht="17.25" customHeight="1">
      <c r="A558" s="19">
        <v>260</v>
      </c>
      <c r="B558" s="5" t="s">
        <v>159</v>
      </c>
      <c r="C558" s="5" t="s">
        <v>890</v>
      </c>
      <c r="D558" s="5" t="s">
        <v>891</v>
      </c>
      <c r="E558" s="11">
        <v>61</v>
      </c>
      <c r="F558" s="12" t="s">
        <v>576</v>
      </c>
      <c r="G558" s="11">
        <v>1</v>
      </c>
      <c r="H558" s="11"/>
      <c r="I558" s="6" t="str">
        <f t="shared" si="8"/>
        <v>yokkkk</v>
      </c>
      <c r="J558" s="21"/>
      <c r="K558" s="22"/>
      <c r="L558" s="21"/>
      <c r="M558" s="21"/>
    </row>
    <row r="559" spans="1:13" ht="17.25" customHeight="1">
      <c r="A559" s="19">
        <v>260</v>
      </c>
      <c r="B559" s="5" t="s">
        <v>159</v>
      </c>
      <c r="C559" s="5" t="s">
        <v>890</v>
      </c>
      <c r="D559" s="5" t="s">
        <v>891</v>
      </c>
      <c r="E559" s="11">
        <v>78</v>
      </c>
      <c r="F559" s="12" t="s">
        <v>574</v>
      </c>
      <c r="G559" s="11">
        <v>5</v>
      </c>
      <c r="H559" s="11"/>
      <c r="I559" s="6" t="str">
        <f t="shared" si="8"/>
        <v>yokkkk</v>
      </c>
      <c r="J559" s="21"/>
      <c r="K559" s="22"/>
      <c r="L559" s="21"/>
      <c r="M559" s="21"/>
    </row>
    <row r="560" spans="1:13" ht="17.25" customHeight="1">
      <c r="A560" s="19">
        <v>56</v>
      </c>
      <c r="B560" s="5" t="s">
        <v>59</v>
      </c>
      <c r="C560" s="5" t="s">
        <v>15</v>
      </c>
      <c r="D560" s="5" t="s">
        <v>687</v>
      </c>
      <c r="E560" s="11">
        <v>16</v>
      </c>
      <c r="F560" s="12" t="s">
        <v>544</v>
      </c>
      <c r="G560" s="11">
        <v>4</v>
      </c>
      <c r="H560" s="11"/>
      <c r="I560" s="6" t="str">
        <f t="shared" si="8"/>
        <v>yokkkk</v>
      </c>
      <c r="J560" s="21"/>
      <c r="K560" s="22"/>
      <c r="L560" s="21"/>
      <c r="M560" s="21"/>
    </row>
    <row r="561" spans="1:13" ht="17.25" customHeight="1">
      <c r="A561" s="19">
        <v>56</v>
      </c>
      <c r="B561" s="5" t="s">
        <v>59</v>
      </c>
      <c r="C561" s="5" t="s">
        <v>15</v>
      </c>
      <c r="D561" s="5" t="s">
        <v>687</v>
      </c>
      <c r="E561" s="11">
        <v>27</v>
      </c>
      <c r="F561" s="12" t="s">
        <v>569</v>
      </c>
      <c r="G561" s="11">
        <v>2</v>
      </c>
      <c r="H561" s="11"/>
      <c r="I561" s="6" t="str">
        <f t="shared" si="8"/>
        <v>yokkkk</v>
      </c>
      <c r="J561" s="21"/>
      <c r="K561" s="22"/>
      <c r="L561" s="21"/>
      <c r="M561" s="21"/>
    </row>
    <row r="562" spans="1:13" ht="17.25" customHeight="1">
      <c r="A562" s="19">
        <v>56</v>
      </c>
      <c r="B562" s="5" t="s">
        <v>59</v>
      </c>
      <c r="C562" s="5" t="s">
        <v>15</v>
      </c>
      <c r="D562" s="5" t="s">
        <v>687</v>
      </c>
      <c r="E562" s="11">
        <v>28</v>
      </c>
      <c r="F562" s="12" t="s">
        <v>570</v>
      </c>
      <c r="G562" s="11">
        <v>3</v>
      </c>
      <c r="H562" s="11"/>
      <c r="I562" s="6" t="str">
        <f t="shared" si="8"/>
        <v>yokkkk</v>
      </c>
      <c r="J562" s="21"/>
      <c r="K562" s="22"/>
      <c r="L562" s="21"/>
      <c r="M562" s="21"/>
    </row>
    <row r="563" spans="1:13" ht="17.25" customHeight="1">
      <c r="A563" s="19">
        <v>56</v>
      </c>
      <c r="B563" s="5" t="s">
        <v>59</v>
      </c>
      <c r="C563" s="5" t="s">
        <v>15</v>
      </c>
      <c r="D563" s="5" t="s">
        <v>687</v>
      </c>
      <c r="E563" s="11">
        <v>33</v>
      </c>
      <c r="F563" s="12" t="s">
        <v>5</v>
      </c>
      <c r="G563" s="11">
        <v>1</v>
      </c>
      <c r="H563" s="11"/>
      <c r="I563" s="6" t="str">
        <f t="shared" si="8"/>
        <v>yokkkk</v>
      </c>
      <c r="J563" s="21"/>
      <c r="K563" s="22"/>
      <c r="L563" s="21"/>
      <c r="M563" s="21"/>
    </row>
    <row r="564" spans="1:13" ht="17.25" customHeight="1">
      <c r="A564" s="19">
        <v>56</v>
      </c>
      <c r="B564" s="5" t="s">
        <v>59</v>
      </c>
      <c r="C564" s="5" t="s">
        <v>15</v>
      </c>
      <c r="D564" s="5" t="s">
        <v>687</v>
      </c>
      <c r="E564" s="11">
        <v>97</v>
      </c>
      <c r="F564" s="12" t="s">
        <v>939</v>
      </c>
      <c r="G564" s="11">
        <v>5</v>
      </c>
      <c r="H564" s="11"/>
      <c r="I564" s="6" t="str">
        <f t="shared" si="8"/>
        <v>yokkkk</v>
      </c>
      <c r="J564" s="21"/>
      <c r="K564" s="22"/>
      <c r="L564" s="21"/>
      <c r="M564" s="21"/>
    </row>
    <row r="565" spans="1:13" ht="17.25" customHeight="1">
      <c r="A565" s="19">
        <v>178</v>
      </c>
      <c r="B565" s="5" t="s">
        <v>114</v>
      </c>
      <c r="C565" s="5" t="s">
        <v>115</v>
      </c>
      <c r="D565" s="5" t="s">
        <v>822</v>
      </c>
      <c r="E565" s="11">
        <v>9</v>
      </c>
      <c r="F565" s="12" t="s">
        <v>537</v>
      </c>
      <c r="G565" s="11">
        <v>1</v>
      </c>
      <c r="H565" s="11"/>
      <c r="I565" s="6" t="str">
        <f t="shared" si="8"/>
        <v>yokkkk</v>
      </c>
      <c r="J565" s="21"/>
      <c r="K565" s="22"/>
      <c r="L565" s="21"/>
      <c r="M565" s="21"/>
    </row>
    <row r="566" spans="1:13" ht="17.25" customHeight="1">
      <c r="A566" s="19">
        <v>256</v>
      </c>
      <c r="B566" s="5" t="s">
        <v>157</v>
      </c>
      <c r="C566" s="5" t="s">
        <v>357</v>
      </c>
      <c r="D566" s="5" t="s">
        <v>358</v>
      </c>
      <c r="E566" s="11">
        <v>18</v>
      </c>
      <c r="F566" s="12" t="s">
        <v>9</v>
      </c>
      <c r="G566" s="11">
        <v>1</v>
      </c>
      <c r="H566" s="11"/>
      <c r="I566" s="6" t="str">
        <f t="shared" si="8"/>
        <v>yokkkk</v>
      </c>
      <c r="J566" s="21"/>
      <c r="K566" s="22"/>
      <c r="L566" s="21"/>
      <c r="M566" s="21"/>
    </row>
    <row r="567" spans="1:13" ht="17.25" customHeight="1">
      <c r="A567" s="19">
        <v>256</v>
      </c>
      <c r="B567" s="5" t="s">
        <v>157</v>
      </c>
      <c r="C567" s="5" t="s">
        <v>357</v>
      </c>
      <c r="D567" s="5" t="s">
        <v>358</v>
      </c>
      <c r="E567" s="11">
        <v>19</v>
      </c>
      <c r="F567" s="12" t="s">
        <v>615</v>
      </c>
      <c r="G567" s="11">
        <v>2</v>
      </c>
      <c r="H567" s="11"/>
      <c r="I567" s="6" t="str">
        <f t="shared" si="8"/>
        <v>yokkkk</v>
      </c>
      <c r="J567" s="21"/>
      <c r="K567" s="22"/>
      <c r="L567" s="21"/>
      <c r="M567" s="21"/>
    </row>
    <row r="568" spans="1:13" ht="17.25" customHeight="1">
      <c r="A568" s="19">
        <v>256</v>
      </c>
      <c r="B568" s="5" t="s">
        <v>157</v>
      </c>
      <c r="C568" s="5" t="s">
        <v>357</v>
      </c>
      <c r="D568" s="5" t="s">
        <v>358</v>
      </c>
      <c r="E568" s="11">
        <v>22</v>
      </c>
      <c r="F568" s="12" t="s">
        <v>956</v>
      </c>
      <c r="G568" s="11">
        <v>3</v>
      </c>
      <c r="H568" s="11"/>
      <c r="I568" s="6" t="str">
        <f t="shared" si="8"/>
        <v>yokkkk</v>
      </c>
      <c r="J568" s="21"/>
      <c r="K568" s="22"/>
      <c r="L568" s="21"/>
      <c r="M568" s="21"/>
    </row>
    <row r="569" spans="1:13" ht="17.25" customHeight="1">
      <c r="A569" s="19">
        <v>256</v>
      </c>
      <c r="B569" s="5" t="s">
        <v>157</v>
      </c>
      <c r="C569" s="5" t="s">
        <v>357</v>
      </c>
      <c r="D569" s="5" t="s">
        <v>358</v>
      </c>
      <c r="E569" s="11">
        <v>55</v>
      </c>
      <c r="F569" s="12" t="s">
        <v>238</v>
      </c>
      <c r="G569" s="11">
        <v>4</v>
      </c>
      <c r="H569" s="11"/>
      <c r="I569" s="6" t="str">
        <f t="shared" si="8"/>
        <v>yokkkk</v>
      </c>
      <c r="J569" s="21"/>
      <c r="K569" s="22"/>
      <c r="L569" s="21"/>
      <c r="M569" s="21"/>
    </row>
    <row r="570" spans="1:13" ht="17.25" customHeight="1">
      <c r="A570" s="19">
        <v>151</v>
      </c>
      <c r="B570" s="5" t="s">
        <v>104</v>
      </c>
      <c r="C570" s="5" t="s">
        <v>792</v>
      </c>
      <c r="D570" s="5" t="s">
        <v>793</v>
      </c>
      <c r="E570" s="11"/>
      <c r="F570" s="12"/>
      <c r="G570" s="11"/>
      <c r="H570" s="11"/>
      <c r="I570" s="6" t="str">
        <f t="shared" si="8"/>
        <v>yokkkk</v>
      </c>
      <c r="J570" s="21"/>
      <c r="K570" s="22"/>
      <c r="L570" s="21"/>
      <c r="M570" s="21"/>
    </row>
    <row r="571" spans="1:13" ht="17.25" customHeight="1">
      <c r="A571" s="19">
        <v>187</v>
      </c>
      <c r="B571" s="5" t="s">
        <v>123</v>
      </c>
      <c r="C571" s="5" t="s">
        <v>313</v>
      </c>
      <c r="D571" s="5" t="s">
        <v>314</v>
      </c>
      <c r="E571" s="11">
        <v>34</v>
      </c>
      <c r="F571" s="12" t="s">
        <v>8</v>
      </c>
      <c r="G571" s="11">
        <v>1</v>
      </c>
      <c r="H571" s="11"/>
      <c r="I571" s="6" t="str">
        <f t="shared" si="8"/>
        <v>yokkkk</v>
      </c>
      <c r="J571" s="21"/>
      <c r="K571" s="22"/>
      <c r="L571" s="21"/>
      <c r="M571" s="21"/>
    </row>
    <row r="572" spans="1:13" ht="17.25" customHeight="1">
      <c r="A572" s="19">
        <v>187</v>
      </c>
      <c r="B572" s="5" t="s">
        <v>123</v>
      </c>
      <c r="C572" s="5" t="s">
        <v>313</v>
      </c>
      <c r="D572" s="5" t="s">
        <v>314</v>
      </c>
      <c r="E572" s="11">
        <v>31</v>
      </c>
      <c r="F572" s="12" t="s">
        <v>946</v>
      </c>
      <c r="G572" s="11">
        <v>2</v>
      </c>
      <c r="H572" s="11"/>
      <c r="I572" s="6" t="str">
        <f t="shared" si="8"/>
        <v>yokkkk</v>
      </c>
      <c r="J572" s="21"/>
      <c r="K572" s="22"/>
      <c r="L572" s="21"/>
      <c r="M572" s="21"/>
    </row>
    <row r="573" spans="1:13" ht="17.25" customHeight="1">
      <c r="A573" s="19">
        <v>187</v>
      </c>
      <c r="B573" s="5" t="s">
        <v>123</v>
      </c>
      <c r="C573" s="5" t="s">
        <v>313</v>
      </c>
      <c r="D573" s="5" t="s">
        <v>314</v>
      </c>
      <c r="E573" s="11">
        <v>92</v>
      </c>
      <c r="F573" s="12" t="s">
        <v>531</v>
      </c>
      <c r="G573" s="11">
        <v>5</v>
      </c>
      <c r="H573" s="11"/>
      <c r="I573" s="6" t="str">
        <f t="shared" si="8"/>
        <v>yokkkk</v>
      </c>
      <c r="J573" s="21"/>
      <c r="K573" s="22"/>
      <c r="L573" s="21"/>
      <c r="M573" s="21"/>
    </row>
    <row r="574" spans="1:13" ht="17.25" customHeight="1">
      <c r="A574" s="19">
        <v>187</v>
      </c>
      <c r="B574" s="5" t="s">
        <v>123</v>
      </c>
      <c r="C574" s="5" t="s">
        <v>313</v>
      </c>
      <c r="D574" s="5" t="s">
        <v>314</v>
      </c>
      <c r="E574" s="11">
        <v>95</v>
      </c>
      <c r="F574" s="12" t="s">
        <v>940</v>
      </c>
      <c r="G574" s="11">
        <v>4</v>
      </c>
      <c r="H574" s="11"/>
      <c r="I574" s="6" t="str">
        <f t="shared" si="8"/>
        <v>yokkkk</v>
      </c>
      <c r="J574" s="21"/>
      <c r="K574" s="22"/>
      <c r="L574" s="21"/>
      <c r="M574" s="21"/>
    </row>
    <row r="575" spans="1:13" ht="17.25" customHeight="1">
      <c r="A575" s="19">
        <v>187</v>
      </c>
      <c r="B575" s="5" t="s">
        <v>123</v>
      </c>
      <c r="C575" s="5" t="s">
        <v>313</v>
      </c>
      <c r="D575" s="5" t="s">
        <v>314</v>
      </c>
      <c r="E575" s="11">
        <v>97</v>
      </c>
      <c r="F575" s="12" t="s">
        <v>939</v>
      </c>
      <c r="G575" s="11">
        <v>3</v>
      </c>
      <c r="H575" s="11"/>
      <c r="I575" s="6" t="str">
        <f t="shared" si="8"/>
        <v>yokkkk</v>
      </c>
      <c r="J575" s="21"/>
      <c r="K575" s="22"/>
      <c r="L575" s="21"/>
      <c r="M575" s="21"/>
    </row>
    <row r="576" spans="1:13" ht="17.25" customHeight="1">
      <c r="A576" s="19">
        <v>223</v>
      </c>
      <c r="B576" s="5" t="s">
        <v>143</v>
      </c>
      <c r="C576" s="5" t="s">
        <v>849</v>
      </c>
      <c r="D576" s="5" t="s">
        <v>850</v>
      </c>
      <c r="E576" s="11">
        <v>47</v>
      </c>
      <c r="F576" s="12" t="s">
        <v>944</v>
      </c>
      <c r="G576" s="11">
        <v>1</v>
      </c>
      <c r="H576" s="11"/>
      <c r="I576" s="6" t="str">
        <f t="shared" si="8"/>
        <v>yokkkk</v>
      </c>
      <c r="J576" s="21"/>
      <c r="K576" s="22"/>
      <c r="L576" s="21"/>
      <c r="M576" s="21"/>
    </row>
    <row r="577" spans="1:13" ht="17.25" customHeight="1">
      <c r="A577" s="19">
        <v>223</v>
      </c>
      <c r="B577" s="5" t="s">
        <v>143</v>
      </c>
      <c r="C577" s="5" t="s">
        <v>849</v>
      </c>
      <c r="D577" s="5" t="s">
        <v>850</v>
      </c>
      <c r="E577" s="11">
        <v>48</v>
      </c>
      <c r="F577" s="12" t="s">
        <v>957</v>
      </c>
      <c r="G577" s="11">
        <v>2</v>
      </c>
      <c r="H577" s="11"/>
      <c r="I577" s="6" t="str">
        <f t="shared" si="8"/>
        <v>yokkkk</v>
      </c>
      <c r="J577" s="21"/>
      <c r="K577" s="22"/>
      <c r="L577" s="21"/>
      <c r="M577" s="21"/>
    </row>
    <row r="578" spans="1:13" ht="17.25" customHeight="1">
      <c r="A578" s="19">
        <v>43</v>
      </c>
      <c r="B578" s="5" t="s">
        <v>44</v>
      </c>
      <c r="C578" s="5" t="s">
        <v>24</v>
      </c>
      <c r="D578" s="5" t="s">
        <v>660</v>
      </c>
      <c r="E578" s="11"/>
      <c r="F578" s="12"/>
      <c r="G578" s="11"/>
      <c r="H578" s="96" t="s">
        <v>1426</v>
      </c>
      <c r="I578" s="6" t="str">
        <f t="shared" si="8"/>
        <v>yokkkk</v>
      </c>
      <c r="J578" s="21"/>
      <c r="K578" s="22"/>
      <c r="L578" s="21"/>
      <c r="M578" s="21"/>
    </row>
    <row r="579" spans="1:13" ht="17.25" customHeight="1">
      <c r="A579" s="19">
        <v>7</v>
      </c>
      <c r="B579" s="5" t="s">
        <v>14</v>
      </c>
      <c r="C579" s="5" t="s">
        <v>240</v>
      </c>
      <c r="D579" s="5" t="s">
        <v>199</v>
      </c>
      <c r="E579" s="11"/>
      <c r="F579" s="12"/>
      <c r="G579" s="11"/>
      <c r="H579" s="96" t="s">
        <v>1426</v>
      </c>
      <c r="I579" s="6" t="str">
        <f t="shared" ref="I579:I585" si="9">IF(COUNTIF(J:J,A579)," var","yokkkk")</f>
        <v>yokkkk</v>
      </c>
      <c r="J579" s="21"/>
      <c r="K579" s="22"/>
      <c r="L579" s="21"/>
      <c r="M579" s="21"/>
    </row>
    <row r="580" spans="1:13" ht="17.25" customHeight="1">
      <c r="A580" s="19">
        <v>292</v>
      </c>
      <c r="B580" s="5" t="s">
        <v>37</v>
      </c>
      <c r="C580" s="5" t="s">
        <v>961</v>
      </c>
      <c r="D580" s="5" t="s">
        <v>962</v>
      </c>
      <c r="E580" s="11">
        <v>79</v>
      </c>
      <c r="F580" s="12" t="s">
        <v>575</v>
      </c>
      <c r="G580" s="11">
        <v>1</v>
      </c>
      <c r="H580" s="11"/>
      <c r="I580" s="6" t="str">
        <f t="shared" si="9"/>
        <v>yokkkk</v>
      </c>
      <c r="J580" s="21"/>
      <c r="K580" s="22"/>
      <c r="L580" s="21"/>
      <c r="M580" s="21"/>
    </row>
    <row r="581" spans="1:13" ht="17.25" customHeight="1">
      <c r="A581" s="19">
        <v>292</v>
      </c>
      <c r="B581" s="5" t="s">
        <v>37</v>
      </c>
      <c r="C581" s="5" t="s">
        <v>961</v>
      </c>
      <c r="D581" s="5" t="s">
        <v>962</v>
      </c>
      <c r="E581" s="11">
        <v>55</v>
      </c>
      <c r="F581" s="12" t="s">
        <v>238</v>
      </c>
      <c r="G581" s="11">
        <v>2</v>
      </c>
      <c r="H581" s="11"/>
      <c r="I581" s="6" t="str">
        <f t="shared" si="9"/>
        <v>yokkkk</v>
      </c>
      <c r="J581" s="21"/>
      <c r="K581" s="22"/>
      <c r="L581" s="21"/>
      <c r="M581" s="21"/>
    </row>
    <row r="582" spans="1:13" ht="17.25" customHeight="1">
      <c r="A582" s="19">
        <v>292</v>
      </c>
      <c r="B582" s="5" t="s">
        <v>37</v>
      </c>
      <c r="C582" s="5" t="s">
        <v>961</v>
      </c>
      <c r="D582" s="5" t="s">
        <v>962</v>
      </c>
      <c r="E582" s="11">
        <v>23</v>
      </c>
      <c r="F582" s="12" t="s">
        <v>7</v>
      </c>
      <c r="G582" s="11">
        <v>3</v>
      </c>
      <c r="H582" s="11"/>
      <c r="I582" s="6" t="str">
        <f t="shared" si="9"/>
        <v>yokkkk</v>
      </c>
      <c r="J582" s="21"/>
      <c r="K582" s="22"/>
      <c r="L582" s="21"/>
      <c r="M582" s="21"/>
    </row>
    <row r="583" spans="1:13" ht="17.25" customHeight="1">
      <c r="A583" s="19">
        <v>292</v>
      </c>
      <c r="B583" s="5" t="s">
        <v>37</v>
      </c>
      <c r="C583" s="5" t="s">
        <v>961</v>
      </c>
      <c r="D583" s="5" t="s">
        <v>962</v>
      </c>
      <c r="E583" s="11">
        <v>94</v>
      </c>
      <c r="F583" s="12" t="s">
        <v>941</v>
      </c>
      <c r="G583" s="11">
        <v>4</v>
      </c>
      <c r="H583" s="11"/>
      <c r="I583" s="6" t="str">
        <f t="shared" si="9"/>
        <v>yokkkk</v>
      </c>
      <c r="J583" s="21"/>
      <c r="K583" s="22"/>
      <c r="L583" s="21"/>
      <c r="M583" s="21"/>
    </row>
    <row r="584" spans="1:13" ht="17.25" customHeight="1">
      <c r="A584" s="19">
        <v>292</v>
      </c>
      <c r="B584" s="5" t="s">
        <v>37</v>
      </c>
      <c r="C584" s="5" t="s">
        <v>961</v>
      </c>
      <c r="D584" s="5" t="s">
        <v>962</v>
      </c>
      <c r="E584" s="11">
        <v>96</v>
      </c>
      <c r="F584" s="12" t="s">
        <v>938</v>
      </c>
      <c r="G584" s="11">
        <v>5</v>
      </c>
      <c r="H584" s="11"/>
      <c r="I584" s="6" t="str">
        <f t="shared" si="9"/>
        <v>yokkkk</v>
      </c>
      <c r="J584" s="21"/>
      <c r="K584" s="22"/>
      <c r="L584" s="21"/>
      <c r="M584" s="21"/>
    </row>
    <row r="585" spans="1:13" ht="17.25" customHeight="1">
      <c r="A585" s="19">
        <v>167</v>
      </c>
      <c r="B585" s="5" t="s">
        <v>111</v>
      </c>
      <c r="C585" s="5" t="s">
        <v>804</v>
      </c>
      <c r="D585" s="5" t="s">
        <v>805</v>
      </c>
      <c r="E585" s="11">
        <v>23</v>
      </c>
      <c r="F585" s="12" t="s">
        <v>7</v>
      </c>
      <c r="G585" s="11">
        <v>2</v>
      </c>
      <c r="H585" s="11"/>
      <c r="I585" s="21" t="str">
        <f t="shared" si="9"/>
        <v xml:space="preserve"> var</v>
      </c>
      <c r="J585" s="21"/>
      <c r="K585" s="22"/>
      <c r="L585" s="21"/>
      <c r="M585" s="21"/>
    </row>
    <row r="586" spans="1:13" ht="17.25" customHeight="1">
      <c r="A586" s="19">
        <v>167</v>
      </c>
      <c r="B586" s="5" t="s">
        <v>111</v>
      </c>
      <c r="C586" s="5" t="s">
        <v>804</v>
      </c>
      <c r="D586" s="5" t="s">
        <v>805</v>
      </c>
      <c r="E586" s="11">
        <v>26</v>
      </c>
      <c r="F586" s="12" t="s">
        <v>947</v>
      </c>
      <c r="G586" s="11">
        <v>1</v>
      </c>
      <c r="H586" s="11"/>
      <c r="I586" s="21"/>
      <c r="J586" s="21"/>
      <c r="K586" s="22"/>
      <c r="L586" s="21"/>
      <c r="M586" s="21"/>
    </row>
    <row r="587" spans="1:13" ht="17.25" customHeight="1">
      <c r="A587" s="19">
        <v>167</v>
      </c>
      <c r="B587" s="5" t="s">
        <v>111</v>
      </c>
      <c r="C587" s="5" t="s">
        <v>804</v>
      </c>
      <c r="D587" s="5" t="s">
        <v>805</v>
      </c>
      <c r="E587" s="11">
        <v>49</v>
      </c>
      <c r="F587" s="12" t="s">
        <v>6</v>
      </c>
      <c r="G587" s="11">
        <v>4</v>
      </c>
      <c r="H587" s="11"/>
      <c r="I587" s="21"/>
      <c r="J587" s="21"/>
      <c r="K587" s="22"/>
      <c r="L587" s="21"/>
      <c r="M587" s="21"/>
    </row>
    <row r="588" spans="1:13" ht="17.25" customHeight="1">
      <c r="A588" s="19">
        <v>167</v>
      </c>
      <c r="B588" s="5" t="s">
        <v>111</v>
      </c>
      <c r="C588" s="5" t="s">
        <v>804</v>
      </c>
      <c r="D588" s="5" t="s">
        <v>805</v>
      </c>
      <c r="E588" s="11">
        <v>84</v>
      </c>
      <c r="F588" s="12" t="s">
        <v>237</v>
      </c>
      <c r="G588" s="11">
        <v>3</v>
      </c>
      <c r="H588" s="11"/>
      <c r="I588" s="21"/>
      <c r="J588" s="21"/>
      <c r="K588" s="22"/>
      <c r="L588" s="21"/>
      <c r="M588" s="21"/>
    </row>
    <row r="589" spans="1:13" ht="17.25" customHeight="1">
      <c r="A589" s="19">
        <v>280</v>
      </c>
      <c r="B589" s="5" t="s">
        <v>165</v>
      </c>
      <c r="C589" s="5" t="s">
        <v>819</v>
      </c>
      <c r="D589" s="5" t="s">
        <v>46</v>
      </c>
      <c r="E589" s="11">
        <v>31</v>
      </c>
      <c r="F589" s="12" t="s">
        <v>946</v>
      </c>
      <c r="G589" s="11">
        <v>5</v>
      </c>
      <c r="H589" s="11"/>
      <c r="I589" s="21"/>
      <c r="J589" s="21"/>
      <c r="K589" s="22"/>
      <c r="L589" s="21"/>
      <c r="M589" s="21"/>
    </row>
    <row r="590" spans="1:13" ht="17.25" customHeight="1">
      <c r="A590" s="19">
        <v>280</v>
      </c>
      <c r="B590" s="5" t="s">
        <v>165</v>
      </c>
      <c r="C590" s="5" t="s">
        <v>819</v>
      </c>
      <c r="D590" s="5" t="s">
        <v>46</v>
      </c>
      <c r="E590" s="11">
        <v>55</v>
      </c>
      <c r="F590" s="12" t="s">
        <v>238</v>
      </c>
      <c r="G590" s="11">
        <v>4</v>
      </c>
      <c r="H590" s="11"/>
      <c r="I590" s="21"/>
      <c r="J590" s="21"/>
      <c r="K590" s="22"/>
      <c r="L590" s="21"/>
      <c r="M590" s="21"/>
    </row>
    <row r="591" spans="1:13" ht="17.25" customHeight="1">
      <c r="A591" s="19">
        <v>280</v>
      </c>
      <c r="B591" s="5" t="s">
        <v>165</v>
      </c>
      <c r="C591" s="5" t="s">
        <v>819</v>
      </c>
      <c r="D591" s="5" t="s">
        <v>46</v>
      </c>
      <c r="E591" s="11">
        <v>76</v>
      </c>
      <c r="F591" s="12" t="s">
        <v>4</v>
      </c>
      <c r="G591" s="11">
        <v>1</v>
      </c>
      <c r="H591" s="11"/>
      <c r="I591" s="21"/>
      <c r="J591" s="21"/>
      <c r="K591" s="22"/>
      <c r="L591" s="21"/>
      <c r="M591" s="21"/>
    </row>
    <row r="592" spans="1:13" ht="17.25" customHeight="1">
      <c r="A592" s="19">
        <v>280</v>
      </c>
      <c r="B592" s="5" t="s">
        <v>165</v>
      </c>
      <c r="C592" s="5" t="s">
        <v>819</v>
      </c>
      <c r="D592" s="5" t="s">
        <v>46</v>
      </c>
      <c r="E592" s="11">
        <v>80</v>
      </c>
      <c r="F592" s="12" t="s">
        <v>945</v>
      </c>
      <c r="G592" s="11">
        <v>2</v>
      </c>
      <c r="H592" s="11"/>
      <c r="I592" s="21"/>
      <c r="J592" s="21"/>
      <c r="K592" s="22"/>
      <c r="L592" s="21"/>
      <c r="M592" s="21"/>
    </row>
    <row r="593" spans="1:13" ht="17.25" customHeight="1">
      <c r="A593" s="19">
        <v>280</v>
      </c>
      <c r="B593" s="5" t="s">
        <v>165</v>
      </c>
      <c r="C593" s="5" t="s">
        <v>819</v>
      </c>
      <c r="D593" s="5" t="s">
        <v>46</v>
      </c>
      <c r="E593" s="11">
        <v>81</v>
      </c>
      <c r="F593" s="12" t="s">
        <v>546</v>
      </c>
      <c r="G593" s="11">
        <v>3</v>
      </c>
      <c r="H593" s="11"/>
      <c r="I593" s="21"/>
      <c r="J593" s="21"/>
      <c r="K593" s="22"/>
      <c r="L593" s="21"/>
      <c r="M593" s="21"/>
    </row>
    <row r="594" spans="1:13" ht="17.25" customHeight="1">
      <c r="A594" s="19">
        <v>65</v>
      </c>
      <c r="B594" s="5" t="s">
        <v>65</v>
      </c>
      <c r="C594" s="5" t="s">
        <v>155</v>
      </c>
      <c r="D594" s="5" t="s">
        <v>16</v>
      </c>
      <c r="E594" s="11">
        <v>4</v>
      </c>
      <c r="F594" s="12" t="s">
        <v>3</v>
      </c>
      <c r="G594" s="11">
        <v>1</v>
      </c>
      <c r="H594" s="11"/>
      <c r="I594" s="21"/>
      <c r="J594" s="21"/>
      <c r="K594" s="22"/>
      <c r="L594" s="21"/>
      <c r="M594" s="21"/>
    </row>
    <row r="595" spans="1:13" ht="17.25" customHeight="1">
      <c r="A595" s="19">
        <v>65</v>
      </c>
      <c r="B595" s="5" t="s">
        <v>65</v>
      </c>
      <c r="C595" s="5" t="s">
        <v>155</v>
      </c>
      <c r="D595" s="5" t="s">
        <v>16</v>
      </c>
      <c r="E595" s="11">
        <v>22</v>
      </c>
      <c r="F595" s="12" t="s">
        <v>956</v>
      </c>
      <c r="G595" s="11">
        <v>2</v>
      </c>
      <c r="H595" s="11"/>
      <c r="I595" s="21"/>
      <c r="J595" s="21"/>
      <c r="K595" s="22"/>
      <c r="L595" s="21"/>
      <c r="M595" s="21"/>
    </row>
    <row r="596" spans="1:13" ht="17.25" customHeight="1">
      <c r="A596" s="19">
        <v>65</v>
      </c>
      <c r="B596" s="5" t="s">
        <v>65</v>
      </c>
      <c r="C596" s="5" t="s">
        <v>155</v>
      </c>
      <c r="D596" s="5" t="s">
        <v>16</v>
      </c>
      <c r="E596" s="11">
        <v>55</v>
      </c>
      <c r="F596" s="12" t="s">
        <v>238</v>
      </c>
      <c r="G596" s="11">
        <v>3</v>
      </c>
      <c r="H596" s="11"/>
      <c r="I596" s="21"/>
      <c r="J596" s="21"/>
      <c r="K596" s="22"/>
      <c r="L596" s="21"/>
      <c r="M596" s="21"/>
    </row>
    <row r="597" spans="1:13" ht="17.25" customHeight="1">
      <c r="A597" s="19">
        <v>65</v>
      </c>
      <c r="B597" s="5" t="s">
        <v>65</v>
      </c>
      <c r="C597" s="5" t="s">
        <v>155</v>
      </c>
      <c r="D597" s="5" t="s">
        <v>16</v>
      </c>
      <c r="E597" s="11">
        <v>56</v>
      </c>
      <c r="F597" s="12" t="s">
        <v>948</v>
      </c>
      <c r="G597" s="11">
        <v>4</v>
      </c>
      <c r="H597" s="11"/>
      <c r="I597" s="21"/>
      <c r="J597" s="21"/>
      <c r="K597" s="22"/>
      <c r="L597" s="21"/>
      <c r="M597" s="21"/>
    </row>
    <row r="598" spans="1:13" ht="17.25" customHeight="1">
      <c r="A598" s="19"/>
      <c r="B598" s="5"/>
      <c r="C598" s="5"/>
      <c r="D598" s="5"/>
      <c r="E598" s="11"/>
      <c r="F598" s="12"/>
      <c r="G598" s="11"/>
      <c r="H598" s="11"/>
      <c r="I598" s="21"/>
      <c r="J598" s="21"/>
      <c r="K598" s="22"/>
      <c r="L598" s="21"/>
      <c r="M598" s="21"/>
    </row>
    <row r="599" spans="1:13" ht="17.25" customHeight="1">
      <c r="A599" s="19"/>
      <c r="B599" s="5"/>
      <c r="C599" s="5"/>
      <c r="D599" s="5"/>
      <c r="E599" s="11"/>
      <c r="F599" s="12"/>
      <c r="G599" s="11"/>
      <c r="H599" s="11"/>
      <c r="I599" s="21"/>
      <c r="J599" s="21"/>
      <c r="K599" s="22"/>
      <c r="L599" s="21"/>
      <c r="M599" s="21"/>
    </row>
    <row r="600" spans="1:13" ht="17.25" customHeight="1">
      <c r="A600" s="19"/>
      <c r="B600" s="5"/>
      <c r="C600" s="5"/>
      <c r="D600" s="5"/>
      <c r="E600" s="11"/>
      <c r="F600" s="12"/>
      <c r="G600" s="11"/>
      <c r="H600" s="11"/>
      <c r="I600" s="21"/>
      <c r="J600" s="21"/>
      <c r="K600" s="22"/>
      <c r="L600" s="21"/>
      <c r="M600" s="21"/>
    </row>
    <row r="601" spans="1:13" ht="17.25" customHeight="1">
      <c r="A601" s="19"/>
      <c r="B601" s="5"/>
      <c r="C601" s="5"/>
      <c r="D601" s="5"/>
      <c r="E601" s="11"/>
      <c r="F601" s="12"/>
      <c r="G601" s="11"/>
      <c r="H601" s="11"/>
      <c r="I601" s="21"/>
      <c r="J601" s="21"/>
      <c r="K601" s="22"/>
      <c r="L601" s="21"/>
      <c r="M601" s="21"/>
    </row>
    <row r="602" spans="1:13" ht="17.25" customHeight="1">
      <c r="A602" s="19"/>
      <c r="B602" s="5"/>
      <c r="C602" s="5"/>
      <c r="D602" s="5"/>
      <c r="E602" s="11"/>
      <c r="F602" s="12"/>
      <c r="G602" s="11"/>
      <c r="H602" s="11"/>
      <c r="I602" s="21"/>
      <c r="J602" s="21"/>
      <c r="K602" s="22"/>
      <c r="L602" s="21"/>
      <c r="M602" s="21"/>
    </row>
    <row r="603" spans="1:13" ht="17.25" customHeight="1">
      <c r="A603" s="19"/>
      <c r="B603" s="5"/>
      <c r="C603" s="5"/>
      <c r="D603" s="5"/>
      <c r="E603" s="11"/>
      <c r="F603" s="12"/>
      <c r="G603" s="11"/>
      <c r="H603" s="11"/>
      <c r="I603" s="21"/>
      <c r="J603" s="21"/>
      <c r="K603" s="22"/>
      <c r="L603" s="21"/>
      <c r="M603" s="21"/>
    </row>
    <row r="604" spans="1:13" ht="17.25" customHeight="1">
      <c r="A604" s="19"/>
      <c r="B604" s="5"/>
      <c r="C604" s="5"/>
      <c r="D604" s="5"/>
      <c r="E604" s="11"/>
      <c r="F604" s="12"/>
      <c r="G604" s="11"/>
      <c r="H604" s="11"/>
      <c r="I604" s="21"/>
      <c r="J604" s="21"/>
      <c r="K604" s="22"/>
      <c r="L604" s="21"/>
      <c r="M604" s="21"/>
    </row>
    <row r="605" spans="1:13" ht="17.25" customHeight="1">
      <c r="A605" s="19"/>
      <c r="B605" s="5"/>
      <c r="C605" s="5"/>
      <c r="D605" s="5"/>
      <c r="E605" s="11"/>
      <c r="F605" s="12"/>
      <c r="G605" s="11"/>
      <c r="H605" s="11"/>
      <c r="I605" s="21"/>
      <c r="J605" s="21"/>
      <c r="K605" s="22"/>
      <c r="L605" s="21"/>
      <c r="M605" s="21"/>
    </row>
    <row r="606" spans="1:13" ht="17.25" customHeight="1">
      <c r="A606" s="19"/>
      <c r="B606" s="5"/>
      <c r="C606" s="5"/>
      <c r="D606" s="5"/>
      <c r="E606" s="11"/>
      <c r="F606" s="12"/>
      <c r="G606" s="11"/>
      <c r="H606" s="11"/>
      <c r="I606" s="21"/>
      <c r="J606" s="21"/>
      <c r="K606" s="22"/>
      <c r="L606" s="21"/>
      <c r="M606" s="21"/>
    </row>
    <row r="607" spans="1:13" ht="17.25" customHeight="1">
      <c r="A607" s="19"/>
      <c r="B607" s="5"/>
      <c r="C607" s="5"/>
      <c r="D607" s="5"/>
      <c r="E607" s="11"/>
      <c r="F607" s="12"/>
      <c r="G607" s="11"/>
      <c r="H607" s="11"/>
      <c r="I607" s="21"/>
      <c r="J607" s="21"/>
      <c r="K607" s="22"/>
      <c r="L607" s="21"/>
      <c r="M607" s="21"/>
    </row>
    <row r="608" spans="1:13" ht="17.25" customHeight="1">
      <c r="A608" s="19"/>
      <c r="B608" s="5"/>
      <c r="C608" s="5"/>
      <c r="D608" s="5"/>
      <c r="E608" s="11"/>
      <c r="F608" s="12"/>
      <c r="G608" s="11"/>
      <c r="H608" s="11"/>
      <c r="I608" s="21"/>
      <c r="J608" s="21"/>
      <c r="K608" s="22"/>
      <c r="L608" s="21"/>
      <c r="M608" s="21"/>
    </row>
    <row r="609" spans="1:13" ht="17.25" customHeight="1">
      <c r="A609" s="19"/>
      <c r="B609" s="5"/>
      <c r="C609" s="5"/>
      <c r="D609" s="5"/>
      <c r="E609" s="11"/>
      <c r="F609" s="12"/>
      <c r="G609" s="11"/>
      <c r="H609" s="11"/>
      <c r="I609" s="21"/>
      <c r="J609" s="21"/>
      <c r="K609" s="22"/>
      <c r="L609" s="21"/>
      <c r="M609" s="21"/>
    </row>
    <row r="610" spans="1:13" ht="17.25" customHeight="1">
      <c r="A610" s="19"/>
      <c r="B610" s="5"/>
      <c r="C610" s="5"/>
      <c r="D610" s="5"/>
      <c r="E610" s="11"/>
      <c r="F610" s="12"/>
      <c r="G610" s="11"/>
      <c r="H610" s="11"/>
      <c r="I610" s="21"/>
      <c r="J610" s="21"/>
      <c r="K610" s="22"/>
      <c r="L610" s="21"/>
      <c r="M610" s="21"/>
    </row>
    <row r="611" spans="1:13" ht="17.25" customHeight="1">
      <c r="A611" s="19"/>
      <c r="B611" s="5"/>
      <c r="C611" s="5"/>
      <c r="D611" s="5"/>
      <c r="E611" s="11"/>
      <c r="F611" s="12"/>
      <c r="G611" s="11"/>
      <c r="H611" s="11"/>
      <c r="I611" s="21"/>
      <c r="J611" s="21"/>
      <c r="K611" s="22"/>
      <c r="L611" s="21"/>
      <c r="M611" s="21"/>
    </row>
    <row r="612" spans="1:13" ht="17.25" customHeight="1">
      <c r="A612" s="19"/>
      <c r="B612" s="5"/>
      <c r="C612" s="5"/>
      <c r="D612" s="5"/>
      <c r="E612" s="11"/>
      <c r="F612" s="12"/>
      <c r="G612" s="11"/>
      <c r="H612" s="11"/>
      <c r="I612" s="21"/>
      <c r="J612" s="21"/>
      <c r="K612" s="22"/>
      <c r="L612" s="21"/>
      <c r="M612" s="21"/>
    </row>
    <row r="613" spans="1:13" ht="17.25" customHeight="1">
      <c r="A613" s="19"/>
      <c r="B613" s="5"/>
      <c r="C613" s="5"/>
      <c r="D613" s="5"/>
      <c r="E613" s="11"/>
      <c r="F613" s="12"/>
      <c r="G613" s="11"/>
      <c r="H613" s="11"/>
      <c r="I613" s="21"/>
      <c r="J613" s="21"/>
      <c r="K613" s="22"/>
      <c r="L613" s="21"/>
      <c r="M613" s="21"/>
    </row>
    <row r="614" spans="1:13" ht="17.25" customHeight="1">
      <c r="A614" s="19"/>
      <c r="B614" s="5"/>
      <c r="C614" s="5"/>
      <c r="D614" s="5"/>
      <c r="E614" s="11"/>
      <c r="F614" s="12"/>
      <c r="G614" s="11"/>
      <c r="H614" s="11"/>
      <c r="I614" s="21"/>
      <c r="J614" s="21"/>
      <c r="K614" s="22"/>
      <c r="L614" s="21"/>
      <c r="M614" s="21"/>
    </row>
    <row r="615" spans="1:13" ht="17.25" customHeight="1">
      <c r="A615" s="19"/>
      <c r="B615" s="5"/>
      <c r="C615" s="5"/>
      <c r="D615" s="5"/>
      <c r="E615" s="11"/>
      <c r="F615" s="12"/>
      <c r="G615" s="11"/>
      <c r="H615" s="11"/>
      <c r="I615" s="21"/>
      <c r="J615" s="21"/>
      <c r="K615" s="22"/>
      <c r="L615" s="21"/>
      <c r="M615" s="21"/>
    </row>
    <row r="616" spans="1:13" ht="17.25" customHeight="1">
      <c r="A616" s="19"/>
      <c r="B616" s="5"/>
      <c r="C616" s="5"/>
      <c r="D616" s="5"/>
      <c r="E616" s="11"/>
      <c r="F616" s="12"/>
      <c r="G616" s="11"/>
      <c r="H616" s="11"/>
      <c r="I616" s="21"/>
      <c r="J616" s="21"/>
      <c r="K616" s="22"/>
      <c r="L616" s="21"/>
      <c r="M616" s="21"/>
    </row>
    <row r="617" spans="1:13" ht="17.25" customHeight="1">
      <c r="A617" s="19"/>
      <c r="B617" s="5"/>
      <c r="C617" s="5"/>
      <c r="D617" s="5"/>
      <c r="E617" s="11"/>
      <c r="F617" s="12"/>
      <c r="G617" s="11"/>
      <c r="H617" s="11"/>
      <c r="I617" s="21"/>
      <c r="J617" s="21"/>
      <c r="K617" s="22"/>
      <c r="L617" s="21"/>
      <c r="M617" s="21"/>
    </row>
    <row r="618" spans="1:13" ht="17.25" customHeight="1">
      <c r="A618" s="19"/>
      <c r="B618" s="5"/>
      <c r="C618" s="5"/>
      <c r="D618" s="5"/>
      <c r="E618" s="11"/>
      <c r="F618" s="12"/>
      <c r="G618" s="11"/>
      <c r="H618" s="11"/>
      <c r="I618" s="21"/>
      <c r="J618" s="21"/>
      <c r="K618" s="22"/>
      <c r="L618" s="21"/>
      <c r="M618" s="21"/>
    </row>
    <row r="619" spans="1:13" ht="17.25" customHeight="1">
      <c r="A619" s="19"/>
      <c r="B619" s="5"/>
      <c r="C619" s="5"/>
      <c r="D619" s="5"/>
      <c r="E619" s="11"/>
      <c r="F619" s="12"/>
      <c r="G619" s="11"/>
      <c r="H619" s="11"/>
      <c r="I619" s="21"/>
      <c r="J619" s="21"/>
      <c r="K619" s="22"/>
      <c r="L619" s="21"/>
      <c r="M619" s="21"/>
    </row>
    <row r="620" spans="1:13" ht="17.25" customHeight="1">
      <c r="A620" s="19"/>
      <c r="B620" s="5"/>
      <c r="C620" s="5"/>
      <c r="D620" s="5"/>
      <c r="E620" s="11"/>
      <c r="F620" s="12"/>
      <c r="G620" s="11"/>
      <c r="H620" s="11"/>
      <c r="I620" s="21"/>
      <c r="J620" s="21"/>
      <c r="K620" s="22"/>
      <c r="L620" s="21"/>
      <c r="M620" s="21"/>
    </row>
    <row r="621" spans="1:13" ht="17.25" customHeight="1">
      <c r="A621" s="19"/>
      <c r="B621" s="5"/>
      <c r="C621" s="5"/>
      <c r="D621" s="5"/>
      <c r="E621" s="11"/>
      <c r="F621" s="12"/>
      <c r="G621" s="11"/>
      <c r="H621" s="11"/>
      <c r="I621" s="21"/>
      <c r="J621" s="21"/>
      <c r="K621" s="22"/>
      <c r="L621" s="21"/>
      <c r="M621" s="21"/>
    </row>
    <row r="622" spans="1:13" ht="17.25" customHeight="1">
      <c r="A622" s="19"/>
      <c r="B622" s="5"/>
      <c r="C622" s="5"/>
      <c r="D622" s="5"/>
      <c r="E622" s="11"/>
      <c r="F622" s="12"/>
      <c r="G622" s="11"/>
      <c r="H622" s="11"/>
      <c r="I622" s="21"/>
      <c r="J622" s="21"/>
      <c r="K622" s="22"/>
      <c r="L622" s="21"/>
      <c r="M622" s="21"/>
    </row>
    <row r="623" spans="1:13" ht="17.25" customHeight="1">
      <c r="A623" s="19"/>
      <c r="B623" s="5"/>
      <c r="C623" s="5"/>
      <c r="D623" s="5"/>
      <c r="E623" s="11"/>
      <c r="F623" s="12"/>
      <c r="G623" s="11"/>
      <c r="H623" s="11"/>
      <c r="I623" s="21"/>
      <c r="J623" s="21"/>
      <c r="K623" s="22"/>
      <c r="L623" s="21"/>
      <c r="M623" s="21"/>
    </row>
    <row r="624" spans="1:13" ht="17.25" customHeight="1">
      <c r="A624" s="19"/>
      <c r="B624" s="5"/>
      <c r="C624" s="5"/>
      <c r="D624" s="5"/>
      <c r="E624" s="11"/>
      <c r="F624" s="12"/>
      <c r="G624" s="11"/>
      <c r="H624" s="11"/>
      <c r="I624" s="21"/>
      <c r="J624" s="21"/>
      <c r="K624" s="22"/>
      <c r="L624" s="21"/>
      <c r="M624" s="21"/>
    </row>
    <row r="625" spans="1:13" ht="17.25" customHeight="1">
      <c r="A625" s="19"/>
      <c r="B625" s="5"/>
      <c r="C625" s="5"/>
      <c r="D625" s="5"/>
      <c r="E625" s="11"/>
      <c r="F625" s="12"/>
      <c r="G625" s="11"/>
      <c r="H625" s="11"/>
      <c r="I625" s="21"/>
      <c r="J625" s="21"/>
      <c r="K625" s="22"/>
      <c r="L625" s="21"/>
      <c r="M625" s="21"/>
    </row>
    <row r="626" spans="1:13" ht="17.25" customHeight="1">
      <c r="A626" s="19"/>
      <c r="B626" s="5"/>
      <c r="C626" s="5"/>
      <c r="D626" s="5"/>
      <c r="E626" s="11"/>
      <c r="F626" s="12"/>
      <c r="G626" s="11"/>
      <c r="H626" s="11"/>
      <c r="I626" s="21"/>
      <c r="J626" s="21"/>
      <c r="K626" s="22"/>
      <c r="L626" s="21"/>
      <c r="M626" s="21"/>
    </row>
    <row r="627" spans="1:13" ht="17.25" customHeight="1">
      <c r="A627" s="19"/>
      <c r="B627" s="5"/>
      <c r="C627" s="5"/>
      <c r="D627" s="5"/>
      <c r="E627" s="11"/>
      <c r="F627" s="12"/>
      <c r="G627" s="11"/>
      <c r="H627" s="11"/>
      <c r="I627" s="21"/>
      <c r="J627" s="21"/>
      <c r="K627" s="22"/>
      <c r="L627" s="21"/>
      <c r="M627" s="21"/>
    </row>
    <row r="628" spans="1:13" ht="17.25" customHeight="1">
      <c r="A628" s="19"/>
      <c r="B628" s="5"/>
      <c r="C628" s="5"/>
      <c r="D628" s="5"/>
      <c r="E628" s="11"/>
      <c r="F628" s="12"/>
      <c r="G628" s="11"/>
      <c r="H628" s="11"/>
      <c r="I628" s="21"/>
      <c r="J628" s="21"/>
      <c r="K628" s="22"/>
      <c r="L628" s="21"/>
      <c r="M628" s="21"/>
    </row>
    <row r="629" spans="1:13" ht="17.25" customHeight="1">
      <c r="A629" s="19"/>
      <c r="B629" s="5"/>
      <c r="C629" s="5"/>
      <c r="D629" s="5"/>
      <c r="E629" s="11"/>
      <c r="F629" s="12"/>
      <c r="G629" s="11"/>
      <c r="H629" s="11"/>
      <c r="I629" s="21"/>
      <c r="J629" s="21"/>
      <c r="K629" s="22"/>
      <c r="L629" s="21"/>
      <c r="M629" s="21"/>
    </row>
    <row r="630" spans="1:13" ht="17.25" customHeight="1">
      <c r="A630" s="19"/>
      <c r="B630" s="5"/>
      <c r="C630" s="5"/>
      <c r="D630" s="5"/>
      <c r="E630" s="11"/>
      <c r="F630" s="12"/>
      <c r="G630" s="11"/>
      <c r="H630" s="11"/>
      <c r="I630" s="21"/>
      <c r="J630" s="21"/>
      <c r="K630" s="22"/>
      <c r="L630" s="21"/>
      <c r="M630" s="21"/>
    </row>
    <row r="631" spans="1:13" ht="17.25" customHeight="1">
      <c r="A631" s="19"/>
      <c r="B631" s="5"/>
      <c r="C631" s="5"/>
      <c r="D631" s="5"/>
      <c r="E631" s="11"/>
      <c r="F631" s="12"/>
      <c r="G631" s="11"/>
      <c r="H631" s="11"/>
      <c r="I631" s="21"/>
      <c r="J631" s="21"/>
      <c r="K631" s="22"/>
      <c r="L631" s="21"/>
      <c r="M631" s="21"/>
    </row>
    <row r="632" spans="1:13" ht="17.25" customHeight="1">
      <c r="A632" s="19"/>
      <c r="B632" s="5"/>
      <c r="C632" s="5"/>
      <c r="D632" s="5"/>
      <c r="E632" s="11"/>
      <c r="F632" s="12"/>
      <c r="G632" s="11"/>
      <c r="H632" s="11"/>
      <c r="I632" s="21"/>
      <c r="J632" s="21"/>
      <c r="K632" s="22"/>
      <c r="L632" s="21"/>
      <c r="M632" s="21"/>
    </row>
    <row r="633" spans="1:13" ht="17.25" customHeight="1">
      <c r="A633" s="19"/>
      <c r="B633" s="5"/>
      <c r="C633" s="5"/>
      <c r="D633" s="5"/>
      <c r="E633" s="11"/>
      <c r="F633" s="12"/>
      <c r="G633" s="11"/>
      <c r="H633" s="11"/>
      <c r="I633" s="21"/>
      <c r="J633" s="21"/>
      <c r="K633" s="22"/>
      <c r="L633" s="21"/>
      <c r="M633" s="21"/>
    </row>
    <row r="634" spans="1:13" ht="17.25" customHeight="1">
      <c r="A634" s="19"/>
      <c r="B634" s="5"/>
      <c r="C634" s="5"/>
      <c r="D634" s="5"/>
      <c r="E634" s="11"/>
      <c r="F634" s="12"/>
      <c r="G634" s="11"/>
      <c r="H634" s="11"/>
      <c r="I634" s="21"/>
      <c r="J634" s="21"/>
      <c r="K634" s="22"/>
      <c r="L634" s="21"/>
      <c r="M634" s="21"/>
    </row>
    <row r="635" spans="1:13" ht="17.25" customHeight="1">
      <c r="A635" s="19"/>
      <c r="B635" s="5"/>
      <c r="C635" s="5"/>
      <c r="D635" s="5"/>
      <c r="E635" s="11"/>
      <c r="F635" s="12"/>
      <c r="G635" s="11"/>
      <c r="H635" s="11"/>
      <c r="I635" s="21"/>
      <c r="J635" s="21"/>
      <c r="K635" s="22"/>
      <c r="L635" s="21"/>
      <c r="M635" s="21"/>
    </row>
    <row r="636" spans="1:13" ht="17.25" customHeight="1">
      <c r="A636" s="19"/>
      <c r="B636" s="5"/>
      <c r="C636" s="5"/>
      <c r="D636" s="5"/>
      <c r="E636" s="11"/>
      <c r="F636" s="12"/>
      <c r="G636" s="11"/>
      <c r="H636" s="11"/>
      <c r="I636" s="21"/>
      <c r="J636" s="21"/>
      <c r="K636" s="22"/>
      <c r="L636" s="21"/>
      <c r="M636" s="21"/>
    </row>
    <row r="637" spans="1:13" ht="17.25" customHeight="1">
      <c r="A637" s="19"/>
      <c r="B637" s="5"/>
      <c r="C637" s="5"/>
      <c r="D637" s="5"/>
      <c r="E637" s="11"/>
      <c r="F637" s="12"/>
      <c r="G637" s="11"/>
      <c r="H637" s="11"/>
      <c r="I637" s="21"/>
      <c r="J637" s="21"/>
      <c r="K637" s="22"/>
      <c r="L637" s="21"/>
      <c r="M637" s="21"/>
    </row>
    <row r="638" spans="1:13" ht="17.25" customHeight="1">
      <c r="A638" s="19"/>
      <c r="B638" s="5"/>
      <c r="C638" s="5"/>
      <c r="D638" s="5"/>
      <c r="E638" s="11"/>
      <c r="F638" s="12"/>
      <c r="G638" s="11"/>
      <c r="H638" s="11"/>
      <c r="I638" s="21"/>
      <c r="J638" s="21"/>
      <c r="K638" s="22"/>
      <c r="L638" s="21"/>
      <c r="M638" s="21"/>
    </row>
    <row r="639" spans="1:13" ht="17.25" customHeight="1">
      <c r="A639" s="19"/>
      <c r="B639" s="5"/>
      <c r="C639" s="5"/>
      <c r="D639" s="5"/>
      <c r="E639" s="11"/>
      <c r="F639" s="12"/>
      <c r="G639" s="11"/>
      <c r="H639" s="11"/>
      <c r="I639" s="21"/>
      <c r="J639" s="21"/>
      <c r="K639" s="22"/>
      <c r="L639" s="21"/>
      <c r="M639" s="21"/>
    </row>
    <row r="640" spans="1:13" ht="17.25" customHeight="1">
      <c r="A640" s="19"/>
      <c r="B640" s="5"/>
      <c r="C640" s="5"/>
      <c r="D640" s="5"/>
      <c r="E640" s="11"/>
      <c r="F640" s="12"/>
      <c r="G640" s="11"/>
      <c r="H640" s="11"/>
      <c r="I640" s="21"/>
      <c r="J640" s="21"/>
      <c r="K640" s="22"/>
      <c r="L640" s="21"/>
      <c r="M640" s="21"/>
    </row>
    <row r="641" spans="1:13" ht="17.25" customHeight="1">
      <c r="A641" s="19"/>
      <c r="B641" s="5"/>
      <c r="C641" s="5"/>
      <c r="D641" s="5"/>
      <c r="E641" s="11"/>
      <c r="F641" s="12"/>
      <c r="G641" s="11"/>
      <c r="H641" s="11"/>
      <c r="I641" s="21"/>
      <c r="J641" s="21"/>
      <c r="K641" s="22"/>
      <c r="L641" s="21"/>
      <c r="M641" s="21"/>
    </row>
    <row r="642" spans="1:13" ht="17.25" customHeight="1">
      <c r="A642" s="19"/>
      <c r="B642" s="5"/>
      <c r="C642" s="5"/>
      <c r="D642" s="5"/>
      <c r="E642" s="11"/>
      <c r="F642" s="12"/>
      <c r="G642" s="11"/>
      <c r="H642" s="11"/>
      <c r="I642" s="21"/>
      <c r="J642" s="21"/>
      <c r="K642" s="22"/>
      <c r="L642" s="21"/>
      <c r="M642" s="21"/>
    </row>
    <row r="643" spans="1:13" ht="17.25" customHeight="1">
      <c r="A643" s="19"/>
      <c r="B643" s="5"/>
      <c r="C643" s="5"/>
      <c r="D643" s="5"/>
      <c r="E643" s="11"/>
      <c r="F643" s="12"/>
      <c r="G643" s="11"/>
      <c r="H643" s="11"/>
      <c r="I643" s="21"/>
      <c r="J643" s="21"/>
      <c r="K643" s="22"/>
      <c r="L643" s="21"/>
      <c r="M643" s="21"/>
    </row>
    <row r="644" spans="1:13" ht="17.25" customHeight="1">
      <c r="A644" s="19"/>
      <c r="B644" s="5"/>
      <c r="C644" s="5"/>
      <c r="D644" s="5"/>
      <c r="E644" s="11"/>
      <c r="F644" s="12"/>
      <c r="G644" s="11"/>
      <c r="H644" s="11"/>
      <c r="I644" s="21"/>
      <c r="J644" s="21"/>
      <c r="K644" s="22"/>
      <c r="L644" s="21"/>
      <c r="M644" s="21"/>
    </row>
    <row r="645" spans="1:13" ht="17.25" customHeight="1">
      <c r="A645" s="19"/>
      <c r="B645" s="5"/>
      <c r="C645" s="5"/>
      <c r="D645" s="5"/>
      <c r="E645" s="11"/>
      <c r="F645" s="12"/>
      <c r="G645" s="11"/>
      <c r="H645" s="11"/>
      <c r="I645" s="21"/>
      <c r="J645" s="21"/>
      <c r="K645" s="22"/>
      <c r="L645" s="21"/>
      <c r="M645" s="21"/>
    </row>
    <row r="646" spans="1:13" ht="17.25" customHeight="1">
      <c r="A646" s="19"/>
      <c r="B646" s="5"/>
      <c r="C646" s="5"/>
      <c r="D646" s="5"/>
      <c r="E646" s="11"/>
      <c r="F646" s="12"/>
      <c r="G646" s="11"/>
      <c r="H646" s="11"/>
      <c r="I646" s="21"/>
      <c r="J646" s="21"/>
      <c r="K646" s="22"/>
      <c r="L646" s="21"/>
      <c r="M646" s="21"/>
    </row>
    <row r="647" spans="1:13" ht="17.25" customHeight="1">
      <c r="A647" s="19"/>
      <c r="B647" s="5"/>
      <c r="C647" s="5"/>
      <c r="D647" s="5"/>
      <c r="E647" s="11"/>
      <c r="F647" s="12"/>
      <c r="G647" s="11"/>
      <c r="H647" s="11"/>
      <c r="I647" s="21"/>
      <c r="J647" s="21"/>
      <c r="K647" s="22"/>
      <c r="L647" s="21"/>
      <c r="M647" s="21"/>
    </row>
    <row r="648" spans="1:13" ht="17.25" customHeight="1">
      <c r="A648" s="19"/>
      <c r="B648" s="5"/>
      <c r="C648" s="5"/>
      <c r="D648" s="5"/>
      <c r="E648" s="11"/>
      <c r="F648" s="12"/>
      <c r="G648" s="11"/>
      <c r="H648" s="11"/>
      <c r="I648" s="21"/>
      <c r="J648" s="21"/>
      <c r="K648" s="22"/>
      <c r="L648" s="21"/>
      <c r="M648" s="21"/>
    </row>
    <row r="649" spans="1:13" ht="17.25" customHeight="1">
      <c r="A649" s="19"/>
      <c r="B649" s="5"/>
      <c r="C649" s="5"/>
      <c r="D649" s="5"/>
      <c r="E649" s="11"/>
      <c r="F649" s="12"/>
      <c r="G649" s="11"/>
      <c r="H649" s="11"/>
      <c r="I649" s="21"/>
      <c r="J649" s="21"/>
      <c r="K649" s="22"/>
      <c r="L649" s="21"/>
      <c r="M649" s="21"/>
    </row>
    <row r="650" spans="1:13" ht="17.25" customHeight="1">
      <c r="A650" s="19"/>
      <c r="B650" s="5"/>
      <c r="C650" s="5"/>
      <c r="D650" s="5"/>
      <c r="E650" s="11"/>
      <c r="F650" s="12"/>
      <c r="G650" s="11"/>
      <c r="H650" s="11"/>
      <c r="I650" s="21"/>
      <c r="J650" s="21"/>
      <c r="K650" s="22"/>
      <c r="L650" s="21"/>
      <c r="M650" s="21"/>
    </row>
    <row r="651" spans="1:13" ht="17.25" customHeight="1">
      <c r="A651" s="19"/>
      <c r="B651" s="5"/>
      <c r="C651" s="5"/>
      <c r="D651" s="5"/>
      <c r="E651" s="11"/>
      <c r="F651" s="12"/>
      <c r="G651" s="11"/>
      <c r="H651" s="11"/>
      <c r="I651" s="21"/>
      <c r="J651" s="21"/>
      <c r="K651" s="22"/>
      <c r="L651" s="21"/>
      <c r="M651" s="21"/>
    </row>
    <row r="652" spans="1:13" ht="17.25" customHeight="1">
      <c r="A652" s="19"/>
      <c r="B652" s="5"/>
      <c r="C652" s="5"/>
      <c r="D652" s="5"/>
      <c r="E652" s="11"/>
      <c r="F652" s="12"/>
      <c r="G652" s="11"/>
      <c r="H652" s="11"/>
      <c r="I652" s="21"/>
      <c r="J652" s="21"/>
      <c r="K652" s="22"/>
      <c r="L652" s="21"/>
      <c r="M652" s="21"/>
    </row>
    <row r="653" spans="1:13" ht="17.25" customHeight="1">
      <c r="A653" s="19"/>
      <c r="B653" s="5"/>
      <c r="C653" s="5"/>
      <c r="D653" s="5"/>
      <c r="E653" s="11"/>
      <c r="F653" s="12"/>
      <c r="G653" s="11"/>
      <c r="H653" s="11"/>
      <c r="I653" s="21"/>
      <c r="J653" s="21"/>
      <c r="K653" s="22"/>
      <c r="L653" s="21"/>
      <c r="M653" s="21"/>
    </row>
    <row r="654" spans="1:13" ht="17.25" customHeight="1">
      <c r="A654" s="19"/>
      <c r="B654" s="5"/>
      <c r="C654" s="5"/>
      <c r="D654" s="5"/>
      <c r="E654" s="11"/>
      <c r="F654" s="12"/>
      <c r="G654" s="11"/>
      <c r="H654" s="11"/>
      <c r="I654" s="21"/>
      <c r="J654" s="21"/>
      <c r="K654" s="22"/>
      <c r="L654" s="21"/>
      <c r="M654" s="21"/>
    </row>
    <row r="655" spans="1:13" ht="17.25" customHeight="1">
      <c r="A655" s="19"/>
      <c r="B655" s="5"/>
      <c r="C655" s="5"/>
      <c r="D655" s="5"/>
      <c r="E655" s="11"/>
      <c r="F655" s="12"/>
      <c r="G655" s="11"/>
      <c r="H655" s="11"/>
      <c r="I655" s="21"/>
      <c r="J655" s="21"/>
      <c r="K655" s="22"/>
      <c r="L655" s="21"/>
      <c r="M655" s="21"/>
    </row>
    <row r="656" spans="1:13" ht="17.25" customHeight="1">
      <c r="A656" s="19"/>
      <c r="B656" s="5"/>
      <c r="C656" s="5"/>
      <c r="D656" s="5"/>
      <c r="E656" s="11"/>
      <c r="F656" s="12"/>
      <c r="G656" s="11"/>
      <c r="H656" s="11"/>
      <c r="I656" s="21"/>
      <c r="J656" s="21"/>
      <c r="K656" s="22"/>
      <c r="L656" s="21"/>
      <c r="M656" s="21"/>
    </row>
    <row r="657" spans="1:13" ht="17.25" customHeight="1">
      <c r="A657" s="19"/>
      <c r="B657" s="5"/>
      <c r="C657" s="5"/>
      <c r="D657" s="5"/>
      <c r="E657" s="11"/>
      <c r="F657" s="12"/>
      <c r="G657" s="11"/>
      <c r="H657" s="11"/>
      <c r="I657" s="21"/>
      <c r="J657" s="21"/>
      <c r="K657" s="22"/>
      <c r="L657" s="21"/>
      <c r="M657" s="21"/>
    </row>
    <row r="658" spans="1:13" ht="17.25" customHeight="1">
      <c r="A658" s="19"/>
      <c r="B658" s="5"/>
      <c r="C658" s="5"/>
      <c r="D658" s="5"/>
      <c r="E658" s="11"/>
      <c r="F658" s="12"/>
      <c r="G658" s="11"/>
      <c r="H658" s="11"/>
      <c r="I658" s="21"/>
      <c r="J658" s="21"/>
      <c r="K658" s="22"/>
      <c r="L658" s="21"/>
      <c r="M658" s="21"/>
    </row>
    <row r="659" spans="1:13" ht="17.25" customHeight="1">
      <c r="A659" s="19"/>
      <c r="B659" s="5"/>
      <c r="C659" s="5"/>
      <c r="D659" s="5"/>
      <c r="E659" s="11"/>
      <c r="F659" s="12"/>
      <c r="G659" s="11"/>
      <c r="H659" s="11"/>
      <c r="I659" s="21"/>
      <c r="J659" s="21"/>
      <c r="K659" s="22"/>
      <c r="L659" s="21"/>
      <c r="M659" s="21"/>
    </row>
    <row r="660" spans="1:13" ht="17.25" customHeight="1">
      <c r="A660" s="19"/>
      <c r="B660" s="5"/>
      <c r="C660" s="5"/>
      <c r="D660" s="5"/>
      <c r="E660" s="11"/>
      <c r="F660" s="12"/>
      <c r="G660" s="11"/>
      <c r="H660" s="11"/>
      <c r="I660" s="21"/>
      <c r="J660" s="21"/>
      <c r="K660" s="22"/>
      <c r="L660" s="21"/>
      <c r="M660" s="21"/>
    </row>
    <row r="661" spans="1:13" ht="17.25" customHeight="1">
      <c r="A661" s="19"/>
      <c r="B661" s="5"/>
      <c r="C661" s="5"/>
      <c r="D661" s="5"/>
      <c r="E661" s="11"/>
      <c r="F661" s="12"/>
      <c r="G661" s="11"/>
      <c r="H661" s="11"/>
      <c r="I661" s="21"/>
      <c r="J661" s="21"/>
      <c r="K661" s="22"/>
      <c r="L661" s="21"/>
      <c r="M661" s="21"/>
    </row>
    <row r="662" spans="1:13" ht="17.25" customHeight="1">
      <c r="A662" s="19"/>
      <c r="B662" s="5"/>
      <c r="C662" s="5"/>
      <c r="D662" s="5"/>
      <c r="E662" s="11"/>
      <c r="F662" s="12"/>
      <c r="G662" s="11"/>
      <c r="H662" s="11"/>
      <c r="I662" s="21"/>
      <c r="J662" s="21"/>
      <c r="K662" s="22"/>
      <c r="L662" s="21"/>
      <c r="M662" s="21"/>
    </row>
    <row r="663" spans="1:13" ht="17.25" customHeight="1">
      <c r="A663" s="19"/>
      <c r="B663" s="5"/>
      <c r="C663" s="5"/>
      <c r="D663" s="5"/>
      <c r="E663" s="11"/>
      <c r="F663" s="12"/>
      <c r="G663" s="11"/>
      <c r="H663" s="11"/>
      <c r="I663" s="21"/>
      <c r="J663" s="21"/>
      <c r="K663" s="22"/>
      <c r="L663" s="21"/>
      <c r="M663" s="21"/>
    </row>
    <row r="664" spans="1:13" ht="17.25" customHeight="1">
      <c r="A664" s="19"/>
      <c r="B664" s="5"/>
      <c r="C664" s="5"/>
      <c r="D664" s="5"/>
      <c r="E664" s="11"/>
      <c r="F664" s="12"/>
      <c r="G664" s="11"/>
      <c r="H664" s="11"/>
      <c r="I664" s="21"/>
      <c r="J664" s="21"/>
      <c r="K664" s="22"/>
      <c r="L664" s="21"/>
      <c r="M664" s="21"/>
    </row>
    <row r="665" spans="1:13" ht="17.25" customHeight="1">
      <c r="A665" s="19"/>
      <c r="B665" s="5"/>
      <c r="C665" s="5"/>
      <c r="D665" s="5"/>
      <c r="E665" s="11"/>
      <c r="F665" s="12"/>
      <c r="G665" s="11"/>
      <c r="H665" s="11"/>
      <c r="I665" s="21"/>
      <c r="J665" s="21"/>
      <c r="K665" s="22"/>
      <c r="L665" s="21"/>
      <c r="M665" s="21"/>
    </row>
    <row r="666" spans="1:13" ht="17.25" customHeight="1">
      <c r="A666" s="19"/>
      <c r="B666" s="5"/>
      <c r="C666" s="5"/>
      <c r="D666" s="5"/>
      <c r="E666" s="11"/>
      <c r="F666" s="12"/>
      <c r="G666" s="11"/>
      <c r="H666" s="11"/>
      <c r="I666" s="21"/>
      <c r="J666" s="21"/>
      <c r="K666" s="22"/>
      <c r="L666" s="21"/>
      <c r="M666" s="21"/>
    </row>
    <row r="667" spans="1:13" ht="17.25" customHeight="1">
      <c r="A667" s="19"/>
      <c r="B667" s="5"/>
      <c r="C667" s="5"/>
      <c r="D667" s="5"/>
      <c r="E667" s="11"/>
      <c r="F667" s="12"/>
      <c r="G667" s="11"/>
      <c r="H667" s="11"/>
      <c r="I667" s="21"/>
      <c r="J667" s="21"/>
      <c r="K667" s="22"/>
      <c r="L667" s="21"/>
      <c r="M667" s="21"/>
    </row>
    <row r="668" spans="1:13" ht="17.25" customHeight="1">
      <c r="A668" s="19"/>
      <c r="B668" s="5"/>
      <c r="C668" s="5"/>
      <c r="D668" s="5"/>
      <c r="E668" s="11"/>
      <c r="F668" s="12"/>
      <c r="G668" s="11"/>
      <c r="H668" s="11"/>
      <c r="I668" s="21"/>
      <c r="J668" s="21"/>
      <c r="K668" s="22"/>
      <c r="L668" s="21"/>
      <c r="M668" s="21"/>
    </row>
    <row r="669" spans="1:13" ht="17.25" customHeight="1">
      <c r="A669" s="19"/>
      <c r="B669" s="5"/>
      <c r="C669" s="5"/>
      <c r="D669" s="5"/>
      <c r="E669" s="11"/>
      <c r="F669" s="12"/>
      <c r="G669" s="11"/>
      <c r="H669" s="11"/>
      <c r="I669" s="21"/>
      <c r="J669" s="21"/>
      <c r="K669" s="22"/>
      <c r="L669" s="21"/>
      <c r="M669" s="21"/>
    </row>
    <row r="670" spans="1:13" ht="17.25" customHeight="1">
      <c r="A670" s="19"/>
      <c r="B670" s="5"/>
      <c r="C670" s="5"/>
      <c r="D670" s="5"/>
      <c r="E670" s="11"/>
      <c r="F670" s="12"/>
      <c r="G670" s="11"/>
      <c r="H670" s="11"/>
      <c r="I670" s="21"/>
      <c r="J670" s="21"/>
      <c r="K670" s="22"/>
      <c r="L670" s="21"/>
      <c r="M670" s="21"/>
    </row>
    <row r="671" spans="1:13" ht="17.25" customHeight="1">
      <c r="A671" s="19"/>
      <c r="B671" s="5"/>
      <c r="C671" s="5"/>
      <c r="D671" s="5"/>
      <c r="E671" s="11"/>
      <c r="F671" s="12"/>
      <c r="G671" s="11"/>
      <c r="H671" s="11"/>
      <c r="I671" s="21"/>
      <c r="J671" s="21"/>
      <c r="K671" s="22"/>
      <c r="L671" s="21"/>
      <c r="M671" s="21"/>
    </row>
    <row r="672" spans="1:13" ht="17.25" customHeight="1">
      <c r="A672" s="19"/>
      <c r="B672" s="5"/>
      <c r="C672" s="5"/>
      <c r="D672" s="5"/>
      <c r="E672" s="11"/>
      <c r="F672" s="12"/>
      <c r="G672" s="11"/>
      <c r="H672" s="11"/>
      <c r="I672" s="21"/>
      <c r="J672" s="21"/>
      <c r="K672" s="22"/>
      <c r="L672" s="21"/>
      <c r="M672" s="21"/>
    </row>
    <row r="673" spans="1:13" ht="17.25" customHeight="1">
      <c r="A673" s="19"/>
      <c r="B673" s="5"/>
      <c r="C673" s="5"/>
      <c r="D673" s="5"/>
      <c r="E673" s="11"/>
      <c r="F673" s="12"/>
      <c r="G673" s="11"/>
      <c r="H673" s="11"/>
      <c r="I673" s="21"/>
      <c r="J673" s="21"/>
      <c r="K673" s="22"/>
      <c r="L673" s="21"/>
      <c r="M673" s="21"/>
    </row>
    <row r="674" spans="1:13" ht="17.25" customHeight="1">
      <c r="A674" s="19"/>
      <c r="B674" s="5"/>
      <c r="C674" s="5"/>
      <c r="D674" s="5"/>
      <c r="E674" s="11"/>
      <c r="F674" s="12"/>
      <c r="G674" s="11"/>
      <c r="H674" s="11"/>
      <c r="I674" s="21"/>
      <c r="J674" s="21"/>
      <c r="K674" s="22"/>
      <c r="L674" s="21"/>
      <c r="M674" s="21"/>
    </row>
    <row r="675" spans="1:13" ht="17.25" customHeight="1">
      <c r="A675" s="19"/>
      <c r="B675" s="5"/>
      <c r="C675" s="5"/>
      <c r="D675" s="5"/>
      <c r="E675" s="11"/>
      <c r="F675" s="12"/>
      <c r="G675" s="11"/>
      <c r="H675" s="11"/>
      <c r="I675" s="21"/>
      <c r="J675" s="21"/>
      <c r="K675" s="22"/>
      <c r="L675" s="21"/>
      <c r="M675" s="21"/>
    </row>
    <row r="676" spans="1:13" ht="17.25" customHeight="1">
      <c r="A676" s="19"/>
      <c r="B676" s="5"/>
      <c r="C676" s="5"/>
      <c r="D676" s="5"/>
      <c r="E676" s="11"/>
      <c r="F676" s="12"/>
      <c r="G676" s="11"/>
      <c r="H676" s="11"/>
      <c r="I676" s="21"/>
      <c r="J676" s="21"/>
      <c r="K676" s="22"/>
      <c r="L676" s="21"/>
      <c r="M676" s="21"/>
    </row>
    <row r="677" spans="1:13" ht="17.25" customHeight="1">
      <c r="A677" s="19"/>
      <c r="B677" s="5"/>
      <c r="C677" s="5"/>
      <c r="D677" s="5"/>
      <c r="E677" s="11"/>
      <c r="F677" s="12"/>
      <c r="G677" s="11"/>
      <c r="H677" s="11"/>
      <c r="I677" s="21"/>
      <c r="J677" s="21"/>
      <c r="K677" s="22"/>
      <c r="L677" s="21"/>
      <c r="M677" s="21"/>
    </row>
    <row r="678" spans="1:13" ht="17.25" customHeight="1">
      <c r="A678" s="19"/>
      <c r="B678" s="5"/>
      <c r="C678" s="5"/>
      <c r="D678" s="5"/>
      <c r="E678" s="11"/>
      <c r="F678" s="12"/>
      <c r="G678" s="11"/>
      <c r="H678" s="11"/>
      <c r="I678" s="21"/>
      <c r="J678" s="21"/>
      <c r="K678" s="22"/>
      <c r="L678" s="21"/>
      <c r="M678" s="21"/>
    </row>
    <row r="679" spans="1:13" ht="17.25" customHeight="1">
      <c r="A679" s="19"/>
      <c r="B679" s="5"/>
      <c r="C679" s="5"/>
      <c r="D679" s="5"/>
      <c r="E679" s="11"/>
      <c r="F679" s="12"/>
      <c r="G679" s="11"/>
      <c r="H679" s="11"/>
      <c r="I679" s="21"/>
      <c r="J679" s="21"/>
      <c r="K679" s="22"/>
      <c r="L679" s="21"/>
      <c r="M679" s="21"/>
    </row>
    <row r="680" spans="1:13" ht="17.25" customHeight="1">
      <c r="A680" s="19"/>
      <c r="B680" s="5"/>
      <c r="C680" s="5"/>
      <c r="D680" s="5"/>
      <c r="E680" s="11"/>
      <c r="F680" s="12"/>
      <c r="G680" s="11"/>
      <c r="H680" s="11"/>
      <c r="I680" s="21"/>
      <c r="J680" s="21"/>
      <c r="K680" s="22"/>
      <c r="L680" s="21"/>
      <c r="M680" s="21"/>
    </row>
    <row r="681" spans="1:13" ht="17.25" customHeight="1">
      <c r="A681" s="19"/>
      <c r="B681" s="5"/>
      <c r="C681" s="5"/>
      <c r="D681" s="5"/>
      <c r="E681" s="11"/>
      <c r="F681" s="12"/>
      <c r="G681" s="11"/>
      <c r="H681" s="11"/>
      <c r="I681" s="21"/>
      <c r="J681" s="21"/>
      <c r="K681" s="22"/>
      <c r="L681" s="21"/>
      <c r="M681" s="21"/>
    </row>
    <row r="682" spans="1:13" ht="17.25" customHeight="1">
      <c r="A682" s="19"/>
      <c r="B682" s="5"/>
      <c r="C682" s="5"/>
      <c r="D682" s="5"/>
      <c r="E682" s="11"/>
      <c r="F682" s="12"/>
      <c r="G682" s="11"/>
      <c r="H682" s="11"/>
      <c r="I682" s="21"/>
      <c r="J682" s="21"/>
      <c r="K682" s="22"/>
      <c r="L682" s="21"/>
      <c r="M682" s="21"/>
    </row>
    <row r="683" spans="1:13" ht="17.25" customHeight="1">
      <c r="A683" s="19"/>
      <c r="B683" s="5"/>
      <c r="C683" s="5"/>
      <c r="D683" s="5"/>
      <c r="E683" s="11"/>
      <c r="F683" s="12"/>
      <c r="G683" s="11"/>
      <c r="H683" s="11"/>
      <c r="I683" s="21"/>
      <c r="J683" s="21"/>
      <c r="K683" s="22"/>
      <c r="L683" s="21"/>
      <c r="M683" s="21"/>
    </row>
    <row r="684" spans="1:13" ht="17.25" customHeight="1">
      <c r="A684" s="19"/>
      <c r="B684" s="5"/>
      <c r="C684" s="5"/>
      <c r="D684" s="5"/>
      <c r="E684" s="11"/>
      <c r="F684" s="12"/>
      <c r="G684" s="11"/>
      <c r="H684" s="11"/>
      <c r="I684" s="21"/>
      <c r="J684" s="21"/>
      <c r="K684" s="22"/>
      <c r="L684" s="21"/>
      <c r="M684" s="21"/>
    </row>
    <row r="685" spans="1:13" ht="17.25" customHeight="1">
      <c r="A685" s="19"/>
      <c r="B685" s="5"/>
      <c r="C685" s="5"/>
      <c r="D685" s="5"/>
      <c r="E685" s="11"/>
      <c r="F685" s="12"/>
      <c r="G685" s="11"/>
      <c r="H685" s="11"/>
      <c r="I685" s="21"/>
      <c r="J685" s="21"/>
      <c r="K685" s="22"/>
      <c r="L685" s="21"/>
      <c r="M685" s="21"/>
    </row>
    <row r="686" spans="1:13" ht="17.25" customHeight="1">
      <c r="A686" s="19"/>
      <c r="B686" s="5"/>
      <c r="C686" s="5"/>
      <c r="D686" s="5"/>
      <c r="E686" s="11"/>
      <c r="F686" s="12"/>
      <c r="G686" s="11"/>
      <c r="H686" s="11"/>
      <c r="I686" s="21"/>
      <c r="J686" s="21"/>
      <c r="K686" s="22"/>
      <c r="L686" s="21"/>
      <c r="M686" s="21"/>
    </row>
    <row r="687" spans="1:13" ht="17.25" customHeight="1">
      <c r="A687" s="19"/>
      <c r="B687" s="5"/>
      <c r="C687" s="5"/>
      <c r="D687" s="5"/>
      <c r="E687" s="11"/>
      <c r="F687" s="12"/>
      <c r="G687" s="11"/>
      <c r="H687" s="11"/>
      <c r="I687" s="21"/>
      <c r="J687" s="21"/>
      <c r="K687" s="22"/>
      <c r="L687" s="21"/>
      <c r="M687" s="21"/>
    </row>
    <row r="688" spans="1:13" ht="17.25" customHeight="1">
      <c r="A688" s="19"/>
      <c r="B688" s="5"/>
      <c r="C688" s="5"/>
      <c r="D688" s="5"/>
      <c r="E688" s="11"/>
      <c r="F688" s="12"/>
      <c r="G688" s="11"/>
      <c r="H688" s="11"/>
      <c r="I688" s="21"/>
      <c r="J688" s="21"/>
      <c r="K688" s="22"/>
      <c r="L688" s="21"/>
      <c r="M688" s="21"/>
    </row>
    <row r="689" spans="1:13" ht="17.25" customHeight="1">
      <c r="A689" s="19"/>
      <c r="B689" s="5"/>
      <c r="C689" s="5"/>
      <c r="D689" s="5"/>
      <c r="E689" s="11"/>
      <c r="F689" s="12"/>
      <c r="G689" s="11"/>
      <c r="H689" s="11"/>
      <c r="I689" s="21"/>
      <c r="J689" s="21"/>
      <c r="K689" s="22"/>
      <c r="L689" s="21"/>
      <c r="M689" s="21"/>
    </row>
    <row r="690" spans="1:13" ht="17.25" customHeight="1">
      <c r="A690" s="19"/>
      <c r="B690" s="5"/>
      <c r="C690" s="5"/>
      <c r="D690" s="5"/>
      <c r="E690" s="11"/>
      <c r="F690" s="12"/>
      <c r="G690" s="11"/>
      <c r="H690" s="11"/>
      <c r="I690" s="21"/>
      <c r="J690" s="21"/>
      <c r="K690" s="22"/>
      <c r="L690" s="21"/>
      <c r="M690" s="21"/>
    </row>
    <row r="691" spans="1:13" ht="17.25" customHeight="1">
      <c r="A691" s="19"/>
      <c r="B691" s="5"/>
      <c r="C691" s="5"/>
      <c r="D691" s="5"/>
      <c r="E691" s="11"/>
      <c r="F691" s="12"/>
      <c r="G691" s="11"/>
      <c r="H691" s="11"/>
      <c r="I691" s="21"/>
      <c r="J691" s="21"/>
      <c r="K691" s="22"/>
      <c r="L691" s="21"/>
      <c r="M691" s="21"/>
    </row>
    <row r="692" spans="1:13" ht="17.25" customHeight="1">
      <c r="A692" s="19"/>
      <c r="B692" s="5"/>
      <c r="C692" s="5"/>
      <c r="D692" s="5"/>
      <c r="E692" s="11"/>
      <c r="F692" s="12"/>
      <c r="G692" s="11"/>
      <c r="H692" s="11"/>
      <c r="I692" s="21"/>
      <c r="J692" s="21"/>
      <c r="K692" s="22"/>
      <c r="L692" s="21"/>
      <c r="M692" s="21"/>
    </row>
    <row r="693" spans="1:13" ht="17.25" customHeight="1">
      <c r="A693" s="19"/>
      <c r="B693" s="5"/>
      <c r="C693" s="5"/>
      <c r="D693" s="5"/>
      <c r="E693" s="11"/>
      <c r="F693" s="12"/>
      <c r="G693" s="11"/>
      <c r="H693" s="11"/>
      <c r="I693" s="21"/>
      <c r="J693" s="21"/>
      <c r="K693" s="22"/>
      <c r="L693" s="21"/>
      <c r="M693" s="21"/>
    </row>
    <row r="694" spans="1:13" ht="17.25" customHeight="1">
      <c r="A694" s="19"/>
      <c r="B694" s="5"/>
      <c r="C694" s="5"/>
      <c r="D694" s="5"/>
      <c r="E694" s="11"/>
      <c r="F694" s="12"/>
      <c r="G694" s="11"/>
      <c r="H694" s="11"/>
      <c r="I694" s="21"/>
      <c r="J694" s="21"/>
      <c r="K694" s="22"/>
      <c r="L694" s="21"/>
      <c r="M694" s="21"/>
    </row>
    <row r="695" spans="1:13" ht="17.25" customHeight="1">
      <c r="A695" s="19"/>
      <c r="B695" s="5"/>
      <c r="C695" s="5"/>
      <c r="D695" s="5"/>
      <c r="E695" s="11"/>
      <c r="F695" s="12"/>
      <c r="G695" s="11"/>
      <c r="H695" s="11"/>
      <c r="I695" s="21"/>
      <c r="J695" s="21"/>
      <c r="K695" s="22"/>
      <c r="L695" s="21"/>
      <c r="M695" s="21"/>
    </row>
    <row r="696" spans="1:13" ht="17.25" customHeight="1">
      <c r="A696" s="19"/>
      <c r="B696" s="5"/>
      <c r="C696" s="5"/>
      <c r="D696" s="5"/>
      <c r="E696" s="11"/>
      <c r="F696" s="12"/>
      <c r="G696" s="11"/>
      <c r="H696" s="11"/>
      <c r="I696" s="21"/>
      <c r="J696" s="21"/>
      <c r="K696" s="22"/>
      <c r="L696" s="21"/>
      <c r="M696" s="21"/>
    </row>
    <row r="697" spans="1:13" ht="17.25" customHeight="1">
      <c r="A697" s="19"/>
      <c r="B697" s="5"/>
      <c r="C697" s="5"/>
      <c r="D697" s="5"/>
      <c r="E697" s="11"/>
      <c r="F697" s="12"/>
      <c r="G697" s="11"/>
      <c r="H697" s="11"/>
      <c r="I697" s="21"/>
      <c r="J697" s="21"/>
      <c r="K697" s="22"/>
      <c r="L697" s="21"/>
      <c r="M697" s="21"/>
    </row>
    <row r="698" spans="1:13" ht="17.25" customHeight="1">
      <c r="A698" s="19"/>
      <c r="B698" s="5"/>
      <c r="C698" s="5"/>
      <c r="D698" s="5"/>
      <c r="E698" s="11"/>
      <c r="F698" s="12"/>
      <c r="G698" s="11"/>
      <c r="H698" s="11"/>
      <c r="I698" s="21"/>
      <c r="J698" s="21"/>
      <c r="K698" s="22"/>
      <c r="L698" s="21"/>
      <c r="M698" s="21"/>
    </row>
    <row r="699" spans="1:13" ht="17.25" customHeight="1">
      <c r="A699" s="19"/>
      <c r="B699" s="5"/>
      <c r="C699" s="5"/>
      <c r="D699" s="5"/>
      <c r="E699" s="11"/>
      <c r="F699" s="12"/>
      <c r="G699" s="11"/>
      <c r="H699" s="11"/>
      <c r="I699" s="21"/>
      <c r="J699" s="21"/>
      <c r="K699" s="22"/>
      <c r="L699" s="21"/>
      <c r="M699" s="21"/>
    </row>
    <row r="700" spans="1:13" ht="17.25" customHeight="1">
      <c r="A700" s="19"/>
      <c r="B700" s="5"/>
      <c r="C700" s="5"/>
      <c r="D700" s="5"/>
      <c r="E700" s="11"/>
      <c r="F700" s="12"/>
      <c r="G700" s="11"/>
      <c r="H700" s="11"/>
      <c r="I700" s="21"/>
      <c r="J700" s="21"/>
      <c r="K700" s="22"/>
      <c r="L700" s="21"/>
      <c r="M700" s="21"/>
    </row>
    <row r="701" spans="1:13" ht="17.25" customHeight="1">
      <c r="A701" s="19"/>
      <c r="B701" s="5"/>
      <c r="C701" s="5"/>
      <c r="D701" s="5"/>
      <c r="E701" s="11"/>
      <c r="F701" s="12"/>
      <c r="G701" s="11"/>
      <c r="H701" s="11"/>
      <c r="I701" s="21"/>
      <c r="J701" s="21"/>
      <c r="K701" s="22"/>
      <c r="L701" s="21"/>
      <c r="M701" s="21"/>
    </row>
    <row r="702" spans="1:13" ht="17.25" customHeight="1">
      <c r="A702" s="19"/>
      <c r="B702" s="5"/>
      <c r="C702" s="5"/>
      <c r="D702" s="5"/>
      <c r="E702" s="11"/>
      <c r="F702" s="12"/>
      <c r="G702" s="11"/>
      <c r="H702" s="11"/>
      <c r="I702" s="21"/>
      <c r="J702" s="21"/>
      <c r="K702" s="22"/>
      <c r="L702" s="21"/>
      <c r="M702" s="21"/>
    </row>
    <row r="703" spans="1:13" ht="17.25" customHeight="1">
      <c r="A703" s="19"/>
      <c r="B703" s="5"/>
      <c r="C703" s="5"/>
      <c r="D703" s="5"/>
      <c r="E703" s="11"/>
      <c r="F703" s="12"/>
      <c r="G703" s="11"/>
      <c r="H703" s="11"/>
      <c r="I703" s="21"/>
      <c r="J703" s="21"/>
      <c r="K703" s="22"/>
      <c r="L703" s="21"/>
      <c r="M703" s="21"/>
    </row>
    <row r="704" spans="1:13" ht="17.25" customHeight="1">
      <c r="A704" s="19"/>
      <c r="B704" s="5"/>
      <c r="C704" s="5"/>
      <c r="D704" s="5"/>
      <c r="E704" s="11"/>
      <c r="F704" s="12"/>
      <c r="G704" s="11"/>
      <c r="H704" s="11"/>
      <c r="I704" s="21"/>
      <c r="J704" s="21"/>
      <c r="K704" s="22"/>
      <c r="L704" s="21"/>
      <c r="M704" s="21"/>
    </row>
    <row r="705" spans="1:13" ht="17.25" customHeight="1">
      <c r="A705" s="19"/>
      <c r="B705" s="5"/>
      <c r="C705" s="5"/>
      <c r="D705" s="5"/>
      <c r="E705" s="11"/>
      <c r="F705" s="12"/>
      <c r="G705" s="11"/>
      <c r="H705" s="11"/>
      <c r="I705" s="21"/>
      <c r="J705" s="21"/>
      <c r="K705" s="22"/>
      <c r="L705" s="21"/>
      <c r="M705" s="21"/>
    </row>
    <row r="706" spans="1:13" ht="17.25" customHeight="1">
      <c r="A706" s="19"/>
      <c r="B706" s="5"/>
      <c r="C706" s="5"/>
      <c r="D706" s="5"/>
      <c r="E706" s="11"/>
      <c r="F706" s="12"/>
      <c r="G706" s="11"/>
      <c r="H706" s="11"/>
      <c r="I706" s="21"/>
      <c r="J706" s="21"/>
      <c r="K706" s="22"/>
      <c r="L706" s="21"/>
      <c r="M706" s="21"/>
    </row>
    <row r="707" spans="1:13" ht="17.25" customHeight="1">
      <c r="A707" s="19"/>
      <c r="B707" s="5"/>
      <c r="C707" s="5"/>
      <c r="D707" s="5"/>
      <c r="E707" s="11"/>
      <c r="F707" s="12"/>
      <c r="G707" s="11"/>
      <c r="H707" s="11"/>
      <c r="I707" s="21"/>
      <c r="J707" s="21"/>
      <c r="K707" s="22"/>
      <c r="L707" s="21"/>
      <c r="M707" s="21"/>
    </row>
    <row r="708" spans="1:13" ht="17.25" customHeight="1">
      <c r="A708" s="19"/>
      <c r="B708" s="5"/>
      <c r="C708" s="5"/>
      <c r="D708" s="5"/>
      <c r="E708" s="11"/>
      <c r="F708" s="12"/>
      <c r="G708" s="11"/>
      <c r="H708" s="11"/>
      <c r="I708" s="21"/>
      <c r="J708" s="21"/>
      <c r="K708" s="22"/>
      <c r="L708" s="21"/>
      <c r="M708" s="21"/>
    </row>
    <row r="709" spans="1:13" ht="17.25" customHeight="1">
      <c r="A709" s="19"/>
      <c r="B709" s="5"/>
      <c r="C709" s="5"/>
      <c r="D709" s="5"/>
      <c r="E709" s="11"/>
      <c r="F709" s="12"/>
      <c r="G709" s="11"/>
      <c r="H709" s="11"/>
      <c r="I709" s="21"/>
      <c r="J709" s="21"/>
      <c r="K709" s="22"/>
      <c r="L709" s="21"/>
      <c r="M709" s="21"/>
    </row>
    <row r="710" spans="1:13" ht="17.25" customHeight="1">
      <c r="A710" s="19"/>
      <c r="B710" s="5"/>
      <c r="C710" s="5"/>
      <c r="D710" s="5"/>
      <c r="E710" s="11"/>
      <c r="F710" s="12"/>
      <c r="G710" s="11"/>
      <c r="H710" s="11"/>
      <c r="I710" s="21"/>
      <c r="J710" s="21"/>
      <c r="K710" s="22"/>
      <c r="L710" s="21"/>
      <c r="M710" s="21"/>
    </row>
    <row r="711" spans="1:13" ht="17.25" customHeight="1">
      <c r="A711" s="19"/>
      <c r="B711" s="5"/>
      <c r="C711" s="5"/>
      <c r="D711" s="5"/>
      <c r="E711" s="11"/>
      <c r="F711" s="12"/>
      <c r="G711" s="11"/>
      <c r="H711" s="11"/>
      <c r="I711" s="21"/>
      <c r="J711" s="21"/>
      <c r="K711" s="22"/>
      <c r="L711" s="21"/>
      <c r="M711" s="21"/>
    </row>
    <row r="712" spans="1:13" ht="17.25" customHeight="1">
      <c r="A712" s="19"/>
      <c r="B712" s="5"/>
      <c r="C712" s="5"/>
      <c r="D712" s="5"/>
      <c r="E712" s="11"/>
      <c r="F712" s="12"/>
      <c r="G712" s="11"/>
      <c r="H712" s="11"/>
      <c r="I712" s="21"/>
      <c r="J712" s="21"/>
      <c r="K712" s="22"/>
      <c r="L712" s="21"/>
      <c r="M712" s="21"/>
    </row>
    <row r="713" spans="1:13" ht="17.25" customHeight="1">
      <c r="A713" s="19"/>
      <c r="B713" s="5"/>
      <c r="C713" s="5"/>
      <c r="D713" s="5"/>
      <c r="E713" s="11"/>
      <c r="F713" s="12"/>
      <c r="G713" s="11"/>
      <c r="H713" s="11"/>
      <c r="I713" s="21"/>
      <c r="J713" s="21"/>
      <c r="K713" s="22"/>
      <c r="L713" s="21"/>
      <c r="M713" s="21"/>
    </row>
    <row r="714" spans="1:13" ht="17.25" customHeight="1">
      <c r="A714" s="19"/>
      <c r="B714" s="5"/>
      <c r="C714" s="5"/>
      <c r="D714" s="5"/>
      <c r="E714" s="11"/>
      <c r="F714" s="12"/>
      <c r="G714" s="11"/>
      <c r="H714" s="11"/>
      <c r="I714" s="21"/>
      <c r="J714" s="21"/>
      <c r="K714" s="22"/>
      <c r="L714" s="21"/>
      <c r="M714" s="21"/>
    </row>
    <row r="715" spans="1:13" ht="17.25" customHeight="1">
      <c r="A715" s="19"/>
      <c r="B715" s="5"/>
      <c r="C715" s="5"/>
      <c r="D715" s="5"/>
      <c r="E715" s="11"/>
      <c r="F715" s="12"/>
      <c r="G715" s="11"/>
      <c r="H715" s="11"/>
      <c r="I715" s="21"/>
      <c r="J715" s="21"/>
      <c r="K715" s="22"/>
      <c r="L715" s="21"/>
      <c r="M715" s="21"/>
    </row>
    <row r="716" spans="1:13" ht="17.25" customHeight="1">
      <c r="A716" s="19"/>
      <c r="B716" s="5"/>
      <c r="C716" s="5"/>
      <c r="D716" s="5"/>
      <c r="E716" s="11"/>
      <c r="F716" s="12"/>
      <c r="G716" s="11"/>
      <c r="H716" s="11"/>
      <c r="I716" s="21"/>
      <c r="J716" s="21"/>
      <c r="K716" s="22"/>
      <c r="L716" s="21"/>
      <c r="M716" s="21"/>
    </row>
    <row r="717" spans="1:13" ht="17.25" customHeight="1">
      <c r="A717" s="19"/>
      <c r="B717" s="5"/>
      <c r="C717" s="5"/>
      <c r="D717" s="5"/>
      <c r="E717" s="11"/>
      <c r="F717" s="12"/>
      <c r="G717" s="11"/>
      <c r="H717" s="11"/>
      <c r="I717" s="21"/>
      <c r="J717" s="21"/>
      <c r="K717" s="22"/>
      <c r="L717" s="21"/>
      <c r="M717" s="21"/>
    </row>
    <row r="718" spans="1:13" ht="17.25" customHeight="1">
      <c r="A718" s="19"/>
      <c r="B718" s="5"/>
      <c r="C718" s="5"/>
      <c r="D718" s="5"/>
      <c r="E718" s="11"/>
      <c r="F718" s="12"/>
      <c r="G718" s="11"/>
      <c r="H718" s="11"/>
      <c r="I718" s="21"/>
      <c r="J718" s="21"/>
      <c r="K718" s="22"/>
      <c r="L718" s="21"/>
      <c r="M718" s="21"/>
    </row>
    <row r="719" spans="1:13" ht="17.25" customHeight="1">
      <c r="A719" s="19"/>
      <c r="B719" s="5"/>
      <c r="C719" s="5"/>
      <c r="D719" s="5"/>
      <c r="E719" s="11"/>
      <c r="F719" s="12"/>
      <c r="G719" s="11"/>
      <c r="H719" s="11"/>
      <c r="I719" s="21"/>
      <c r="J719" s="21"/>
      <c r="K719" s="22"/>
      <c r="L719" s="21"/>
      <c r="M719" s="21"/>
    </row>
    <row r="720" spans="1:13" ht="17.25" customHeight="1">
      <c r="A720" s="19"/>
      <c r="B720" s="5"/>
      <c r="C720" s="5"/>
      <c r="D720" s="5"/>
      <c r="E720" s="11"/>
      <c r="F720" s="12"/>
      <c r="G720" s="11"/>
      <c r="H720" s="11"/>
      <c r="I720" s="21"/>
      <c r="J720" s="21"/>
      <c r="K720" s="22"/>
      <c r="L720" s="21"/>
      <c r="M720" s="21"/>
    </row>
    <row r="721" spans="1:13" ht="17.25" customHeight="1">
      <c r="A721" s="19"/>
      <c r="B721" s="5"/>
      <c r="C721" s="5"/>
      <c r="D721" s="5"/>
      <c r="E721" s="11"/>
      <c r="F721" s="12"/>
      <c r="G721" s="11"/>
      <c r="H721" s="11"/>
      <c r="I721" s="21"/>
      <c r="J721" s="21"/>
      <c r="K721" s="22"/>
      <c r="L721" s="21"/>
      <c r="M721" s="21"/>
    </row>
    <row r="722" spans="1:13" ht="17.25" customHeight="1">
      <c r="A722" s="19"/>
      <c r="B722" s="5"/>
      <c r="C722" s="5"/>
      <c r="D722" s="5"/>
      <c r="E722" s="11"/>
      <c r="F722" s="12"/>
      <c r="G722" s="11"/>
      <c r="H722" s="11"/>
      <c r="I722" s="21"/>
      <c r="J722" s="21"/>
      <c r="K722" s="22"/>
      <c r="L722" s="21"/>
      <c r="M722" s="21"/>
    </row>
    <row r="723" spans="1:13" ht="17.25" customHeight="1">
      <c r="A723" s="19"/>
      <c r="B723" s="5"/>
      <c r="C723" s="5"/>
      <c r="D723" s="5"/>
      <c r="E723" s="11"/>
      <c r="F723" s="12"/>
      <c r="G723" s="11"/>
      <c r="H723" s="11"/>
      <c r="I723" s="21"/>
      <c r="J723" s="21"/>
      <c r="K723" s="22"/>
      <c r="L723" s="21"/>
      <c r="M723" s="21"/>
    </row>
    <row r="724" spans="1:13" ht="17.25" customHeight="1">
      <c r="A724" s="19"/>
      <c r="B724" s="5"/>
      <c r="C724" s="5"/>
      <c r="D724" s="5"/>
      <c r="E724" s="11"/>
      <c r="F724" s="12"/>
      <c r="G724" s="11"/>
      <c r="H724" s="11"/>
      <c r="I724" s="21"/>
      <c r="J724" s="21"/>
      <c r="K724" s="22"/>
      <c r="L724" s="21"/>
      <c r="M724" s="21"/>
    </row>
    <row r="725" spans="1:13" ht="17.25" customHeight="1">
      <c r="A725" s="19"/>
      <c r="B725" s="5"/>
      <c r="C725" s="5"/>
      <c r="D725" s="5"/>
      <c r="E725" s="11"/>
      <c r="F725" s="12"/>
      <c r="G725" s="11"/>
      <c r="H725" s="11"/>
      <c r="I725" s="21"/>
      <c r="J725" s="21"/>
      <c r="K725" s="22"/>
      <c r="L725" s="21"/>
      <c r="M725" s="21"/>
    </row>
    <row r="726" spans="1:13" ht="17.25" customHeight="1">
      <c r="A726" s="19"/>
      <c r="B726" s="5"/>
      <c r="C726" s="5"/>
      <c r="D726" s="5"/>
      <c r="E726" s="11"/>
      <c r="F726" s="12"/>
      <c r="G726" s="11"/>
      <c r="H726" s="11"/>
      <c r="I726" s="21"/>
      <c r="J726" s="21"/>
      <c r="K726" s="22"/>
      <c r="L726" s="21"/>
      <c r="M726" s="21"/>
    </row>
    <row r="727" spans="1:13" ht="17.25" customHeight="1">
      <c r="A727" s="19"/>
      <c r="B727" s="5"/>
      <c r="C727" s="5"/>
      <c r="D727" s="5"/>
      <c r="E727" s="11"/>
      <c r="F727" s="12"/>
      <c r="G727" s="11"/>
      <c r="H727" s="11"/>
      <c r="I727" s="21"/>
      <c r="J727" s="21"/>
      <c r="K727" s="22"/>
      <c r="L727" s="21"/>
      <c r="M727" s="21"/>
    </row>
    <row r="728" spans="1:13" ht="17.25" customHeight="1">
      <c r="A728" s="19"/>
      <c r="B728" s="5"/>
      <c r="C728" s="5"/>
      <c r="D728" s="5"/>
      <c r="E728" s="11"/>
      <c r="F728" s="12"/>
      <c r="G728" s="11"/>
      <c r="H728" s="11"/>
      <c r="I728" s="21"/>
      <c r="J728" s="21"/>
      <c r="K728" s="22"/>
      <c r="L728" s="21"/>
      <c r="M728" s="21"/>
    </row>
    <row r="729" spans="1:13" ht="17.25" customHeight="1">
      <c r="A729" s="19"/>
      <c r="B729" s="5"/>
      <c r="C729" s="5"/>
      <c r="D729" s="5"/>
      <c r="E729" s="11"/>
      <c r="F729" s="12"/>
      <c r="G729" s="11"/>
      <c r="H729" s="11"/>
      <c r="I729" s="21"/>
      <c r="J729" s="21"/>
      <c r="K729" s="22"/>
      <c r="L729" s="21"/>
      <c r="M729" s="21"/>
    </row>
    <row r="730" spans="1:13" ht="17.25" customHeight="1">
      <c r="A730" s="19"/>
      <c r="B730" s="5"/>
      <c r="C730" s="5"/>
      <c r="D730" s="5"/>
      <c r="E730" s="11"/>
      <c r="F730" s="12"/>
      <c r="G730" s="11"/>
      <c r="H730" s="11"/>
      <c r="I730" s="21"/>
      <c r="J730" s="21"/>
      <c r="K730" s="22"/>
      <c r="L730" s="21"/>
      <c r="M730" s="21"/>
    </row>
    <row r="731" spans="1:13" ht="17.25" customHeight="1">
      <c r="A731" s="19"/>
      <c r="B731" s="5"/>
      <c r="C731" s="5"/>
      <c r="D731" s="5"/>
      <c r="E731" s="11"/>
      <c r="F731" s="12"/>
      <c r="G731" s="11"/>
      <c r="H731" s="11"/>
      <c r="I731" s="21"/>
      <c r="J731" s="21"/>
      <c r="K731" s="22"/>
      <c r="L731" s="21"/>
      <c r="M731" s="21"/>
    </row>
    <row r="732" spans="1:13" ht="17.25" customHeight="1">
      <c r="A732" s="19"/>
      <c r="B732" s="5"/>
      <c r="C732" s="5"/>
      <c r="D732" s="5"/>
      <c r="E732" s="11"/>
      <c r="F732" s="12"/>
      <c r="G732" s="11"/>
      <c r="H732" s="11"/>
      <c r="I732" s="21"/>
      <c r="J732" s="21"/>
      <c r="K732" s="22"/>
      <c r="L732" s="21"/>
      <c r="M732" s="21"/>
    </row>
    <row r="733" spans="1:13" ht="17.25" customHeight="1">
      <c r="A733" s="19"/>
      <c r="B733" s="5"/>
      <c r="C733" s="5"/>
      <c r="D733" s="5"/>
      <c r="E733" s="11"/>
      <c r="F733" s="12"/>
      <c r="G733" s="11"/>
      <c r="H733" s="11"/>
      <c r="I733" s="21"/>
      <c r="J733" s="21"/>
      <c r="K733" s="22"/>
      <c r="L733" s="21"/>
      <c r="M733" s="21"/>
    </row>
    <row r="734" spans="1:13" ht="17.25" customHeight="1">
      <c r="A734" s="19"/>
      <c r="B734" s="5"/>
      <c r="C734" s="5"/>
      <c r="D734" s="5"/>
      <c r="E734" s="11"/>
      <c r="F734" s="12"/>
      <c r="G734" s="11"/>
      <c r="H734" s="11"/>
      <c r="I734" s="21"/>
      <c r="J734" s="21"/>
      <c r="K734" s="22"/>
      <c r="L734" s="21"/>
      <c r="M734" s="21"/>
    </row>
    <row r="735" spans="1:13" ht="17.25" customHeight="1">
      <c r="A735" s="19"/>
      <c r="B735" s="5"/>
      <c r="C735" s="5"/>
      <c r="D735" s="5"/>
      <c r="E735" s="11"/>
      <c r="F735" s="12"/>
      <c r="G735" s="11"/>
      <c r="H735" s="11"/>
      <c r="I735" s="21"/>
      <c r="J735" s="21"/>
      <c r="K735" s="22"/>
      <c r="L735" s="21"/>
      <c r="M735" s="21"/>
    </row>
    <row r="736" spans="1:13" ht="17.25" customHeight="1">
      <c r="A736" s="19"/>
      <c r="B736" s="5"/>
      <c r="C736" s="5"/>
      <c r="D736" s="5"/>
      <c r="E736" s="11"/>
      <c r="F736" s="12"/>
      <c r="G736" s="11"/>
      <c r="H736" s="11"/>
      <c r="I736" s="21"/>
      <c r="J736" s="21"/>
      <c r="K736" s="22"/>
      <c r="L736" s="21"/>
      <c r="M736" s="21"/>
    </row>
    <row r="737" spans="1:13" ht="17.25" customHeight="1">
      <c r="A737" s="19"/>
      <c r="B737" s="5"/>
      <c r="C737" s="5"/>
      <c r="D737" s="5"/>
      <c r="E737" s="11"/>
      <c r="F737" s="12"/>
      <c r="G737" s="11"/>
      <c r="H737" s="11"/>
      <c r="I737" s="21"/>
      <c r="J737" s="21"/>
      <c r="K737" s="22"/>
      <c r="L737" s="21"/>
      <c r="M737" s="21"/>
    </row>
    <row r="738" spans="1:13" ht="17.25" customHeight="1">
      <c r="A738" s="19"/>
      <c r="B738" s="5"/>
      <c r="C738" s="5"/>
      <c r="D738" s="5"/>
      <c r="E738" s="11"/>
      <c r="F738" s="12"/>
      <c r="G738" s="11"/>
      <c r="H738" s="11"/>
      <c r="I738" s="21"/>
      <c r="J738" s="21"/>
      <c r="K738" s="22"/>
      <c r="L738" s="21"/>
      <c r="M738" s="21"/>
    </row>
    <row r="739" spans="1:13" ht="17.25" customHeight="1">
      <c r="A739" s="19"/>
      <c r="B739" s="5"/>
      <c r="C739" s="5"/>
      <c r="D739" s="5"/>
      <c r="E739" s="11"/>
      <c r="F739" s="12"/>
      <c r="G739" s="11"/>
      <c r="H739" s="11"/>
      <c r="I739" s="21"/>
      <c r="J739" s="21"/>
      <c r="K739" s="22"/>
      <c r="L739" s="21"/>
      <c r="M739" s="21"/>
    </row>
    <row r="740" spans="1:13" ht="17.25" customHeight="1">
      <c r="A740" s="19"/>
      <c r="B740" s="5"/>
      <c r="C740" s="5"/>
      <c r="D740" s="5"/>
      <c r="E740" s="11"/>
      <c r="F740" s="12"/>
      <c r="G740" s="11"/>
      <c r="H740" s="11"/>
      <c r="I740" s="21"/>
      <c r="J740" s="21"/>
      <c r="K740" s="22"/>
      <c r="L740" s="21"/>
      <c r="M740" s="21"/>
    </row>
    <row r="741" spans="1:13" ht="17.25" customHeight="1">
      <c r="A741" s="19"/>
      <c r="B741" s="5"/>
      <c r="C741" s="5"/>
      <c r="D741" s="5"/>
      <c r="E741" s="11"/>
      <c r="F741" s="12"/>
      <c r="G741" s="11"/>
      <c r="H741" s="11"/>
      <c r="I741" s="21"/>
      <c r="J741" s="21"/>
      <c r="K741" s="22"/>
      <c r="L741" s="21"/>
      <c r="M741" s="21"/>
    </row>
    <row r="742" spans="1:13" ht="17.25" customHeight="1">
      <c r="A742" s="19"/>
      <c r="B742" s="5"/>
      <c r="C742" s="5"/>
      <c r="D742" s="5"/>
      <c r="E742" s="11"/>
      <c r="F742" s="12"/>
      <c r="G742" s="11"/>
      <c r="H742" s="11"/>
      <c r="I742" s="21"/>
      <c r="J742" s="21"/>
      <c r="K742" s="22"/>
      <c r="L742" s="21"/>
      <c r="M742" s="21"/>
    </row>
    <row r="743" spans="1:13" ht="17.25" customHeight="1">
      <c r="A743" s="19"/>
      <c r="B743" s="5"/>
      <c r="C743" s="5"/>
      <c r="D743" s="5"/>
      <c r="E743" s="11"/>
      <c r="F743" s="12"/>
      <c r="G743" s="11"/>
      <c r="H743" s="11"/>
      <c r="I743" s="21"/>
      <c r="J743" s="21"/>
      <c r="K743" s="22"/>
      <c r="L743" s="21"/>
      <c r="M743" s="21"/>
    </row>
    <row r="744" spans="1:13" ht="17.25" customHeight="1">
      <c r="A744" s="19"/>
      <c r="B744" s="5"/>
      <c r="C744" s="5"/>
      <c r="D744" s="5"/>
      <c r="E744" s="11"/>
      <c r="F744" s="12"/>
      <c r="G744" s="11"/>
      <c r="H744" s="11"/>
      <c r="I744" s="21"/>
      <c r="J744" s="21"/>
      <c r="K744" s="22"/>
      <c r="L744" s="21"/>
      <c r="M744" s="21"/>
    </row>
    <row r="745" spans="1:13" ht="17.25" customHeight="1">
      <c r="A745" s="19"/>
      <c r="B745" s="5"/>
      <c r="C745" s="5"/>
      <c r="D745" s="5"/>
      <c r="E745" s="11"/>
      <c r="F745" s="12"/>
      <c r="G745" s="11"/>
      <c r="H745" s="11"/>
      <c r="I745" s="21"/>
      <c r="J745" s="21"/>
      <c r="K745" s="22"/>
      <c r="L745" s="21"/>
      <c r="M745" s="21"/>
    </row>
    <row r="746" spans="1:13" ht="17.25" customHeight="1">
      <c r="A746" s="19"/>
      <c r="B746" s="5"/>
      <c r="C746" s="5"/>
      <c r="D746" s="5"/>
      <c r="E746" s="11"/>
      <c r="F746" s="12"/>
      <c r="G746" s="11"/>
      <c r="H746" s="11"/>
      <c r="I746" s="21"/>
      <c r="J746" s="21"/>
      <c r="K746" s="22"/>
      <c r="L746" s="21"/>
      <c r="M746" s="21"/>
    </row>
    <row r="747" spans="1:13" ht="17.25" customHeight="1">
      <c r="A747" s="19"/>
      <c r="B747" s="5"/>
      <c r="C747" s="5"/>
      <c r="D747" s="5"/>
      <c r="E747" s="11"/>
      <c r="F747" s="12"/>
      <c r="G747" s="11"/>
      <c r="H747" s="11"/>
      <c r="I747" s="21"/>
      <c r="J747" s="21"/>
      <c r="K747" s="22"/>
      <c r="L747" s="21"/>
      <c r="M747" s="21"/>
    </row>
    <row r="748" spans="1:13" ht="17.25" customHeight="1">
      <c r="A748" s="19"/>
      <c r="B748" s="5"/>
      <c r="C748" s="5"/>
      <c r="D748" s="5"/>
      <c r="E748" s="11"/>
      <c r="F748" s="12"/>
      <c r="G748" s="11"/>
      <c r="H748" s="11"/>
      <c r="I748" s="21"/>
      <c r="J748" s="21"/>
      <c r="K748" s="22"/>
      <c r="L748" s="21"/>
      <c r="M748" s="21"/>
    </row>
    <row r="749" spans="1:13" ht="17.25" customHeight="1">
      <c r="A749" s="19"/>
      <c r="B749" s="5"/>
      <c r="C749" s="5"/>
      <c r="D749" s="5"/>
      <c r="E749" s="11"/>
      <c r="F749" s="12"/>
      <c r="G749" s="11"/>
      <c r="H749" s="11"/>
      <c r="I749" s="21"/>
      <c r="J749" s="21"/>
      <c r="K749" s="22"/>
      <c r="L749" s="21"/>
      <c r="M749" s="21"/>
    </row>
    <row r="750" spans="1:13" ht="17.25" customHeight="1">
      <c r="A750" s="19"/>
      <c r="B750" s="5"/>
      <c r="C750" s="5"/>
      <c r="D750" s="5"/>
      <c r="E750" s="11"/>
      <c r="F750" s="12"/>
      <c r="G750" s="11"/>
      <c r="H750" s="11"/>
      <c r="I750" s="21"/>
      <c r="J750" s="21"/>
      <c r="K750" s="22"/>
      <c r="L750" s="21"/>
      <c r="M750" s="21"/>
    </row>
    <row r="751" spans="1:13" ht="17.25" customHeight="1">
      <c r="A751" s="19"/>
      <c r="B751" s="5"/>
      <c r="C751" s="5"/>
      <c r="D751" s="5"/>
      <c r="E751" s="11"/>
      <c r="F751" s="12"/>
      <c r="G751" s="11"/>
      <c r="H751" s="11"/>
      <c r="I751" s="21"/>
      <c r="J751" s="21"/>
      <c r="K751" s="22"/>
      <c r="L751" s="21"/>
      <c r="M751" s="21"/>
    </row>
    <row r="752" spans="1:13" ht="17.25" customHeight="1">
      <c r="A752" s="19"/>
      <c r="B752" s="5"/>
      <c r="C752" s="5"/>
      <c r="D752" s="5"/>
      <c r="E752" s="11"/>
      <c r="F752" s="12"/>
      <c r="G752" s="11"/>
      <c r="H752" s="11"/>
      <c r="I752" s="21"/>
      <c r="J752" s="21"/>
      <c r="K752" s="22"/>
      <c r="L752" s="21"/>
      <c r="M752" s="21"/>
    </row>
    <row r="753" spans="1:13" ht="17.25" customHeight="1">
      <c r="A753" s="19"/>
      <c r="B753" s="5"/>
      <c r="C753" s="5"/>
      <c r="D753" s="5"/>
      <c r="E753" s="11"/>
      <c r="F753" s="12"/>
      <c r="G753" s="11"/>
      <c r="H753" s="11"/>
      <c r="I753" s="21"/>
      <c r="J753" s="21"/>
      <c r="K753" s="22"/>
      <c r="L753" s="21"/>
      <c r="M753" s="21"/>
    </row>
    <row r="754" spans="1:13" ht="17.25" customHeight="1">
      <c r="A754" s="19"/>
      <c r="B754" s="5"/>
      <c r="C754" s="5"/>
      <c r="D754" s="5"/>
      <c r="E754" s="11"/>
      <c r="F754" s="12"/>
      <c r="G754" s="11"/>
      <c r="H754" s="11"/>
      <c r="I754" s="21"/>
      <c r="J754" s="21"/>
      <c r="K754" s="22"/>
      <c r="L754" s="21"/>
      <c r="M754" s="21"/>
    </row>
    <row r="755" spans="1:13" ht="17.25" customHeight="1">
      <c r="A755" s="19"/>
      <c r="B755" s="5"/>
      <c r="C755" s="5"/>
      <c r="D755" s="5"/>
      <c r="E755" s="11"/>
      <c r="F755" s="12"/>
      <c r="G755" s="11"/>
      <c r="H755" s="11"/>
      <c r="I755" s="21"/>
      <c r="J755" s="21"/>
      <c r="K755" s="22"/>
      <c r="L755" s="21"/>
      <c r="M755" s="21"/>
    </row>
    <row r="756" spans="1:13" ht="17.25" customHeight="1">
      <c r="A756" s="19"/>
      <c r="B756" s="5"/>
      <c r="C756" s="5"/>
      <c r="D756" s="5"/>
      <c r="E756" s="11"/>
      <c r="F756" s="12"/>
      <c r="G756" s="11"/>
      <c r="H756" s="11"/>
      <c r="I756" s="21"/>
      <c r="J756" s="21"/>
      <c r="K756" s="22"/>
      <c r="L756" s="21"/>
      <c r="M756" s="21"/>
    </row>
    <row r="757" spans="1:13" ht="17.25" customHeight="1">
      <c r="A757" s="19"/>
      <c r="B757" s="5"/>
      <c r="C757" s="5"/>
      <c r="D757" s="5"/>
      <c r="E757" s="11"/>
      <c r="F757" s="12"/>
      <c r="G757" s="11"/>
      <c r="H757" s="11"/>
      <c r="I757" s="21"/>
      <c r="J757" s="21"/>
      <c r="K757" s="22"/>
      <c r="L757" s="21"/>
      <c r="M757" s="21"/>
    </row>
    <row r="758" spans="1:13" ht="17.25" customHeight="1">
      <c r="A758" s="19"/>
      <c r="B758" s="5"/>
      <c r="C758" s="5"/>
      <c r="D758" s="5"/>
      <c r="E758" s="11"/>
      <c r="F758" s="12"/>
      <c r="G758" s="11"/>
      <c r="H758" s="11"/>
      <c r="I758" s="21"/>
      <c r="J758" s="21"/>
      <c r="K758" s="22"/>
      <c r="L758" s="21"/>
      <c r="M758" s="21"/>
    </row>
    <row r="759" spans="1:13" ht="17.25" customHeight="1">
      <c r="A759" s="19"/>
      <c r="B759" s="5"/>
      <c r="C759" s="5"/>
      <c r="D759" s="5"/>
      <c r="E759" s="11"/>
      <c r="F759" s="12"/>
      <c r="G759" s="11"/>
      <c r="H759" s="11"/>
      <c r="I759" s="21"/>
      <c r="J759" s="21"/>
      <c r="K759" s="22"/>
      <c r="L759" s="21"/>
      <c r="M759" s="21"/>
    </row>
    <row r="760" spans="1:13" ht="17.25" customHeight="1">
      <c r="A760" s="19"/>
      <c r="B760" s="5"/>
      <c r="C760" s="5"/>
      <c r="D760" s="5"/>
      <c r="E760" s="11"/>
      <c r="F760" s="12"/>
      <c r="G760" s="11"/>
      <c r="H760" s="11"/>
      <c r="I760" s="21"/>
      <c r="J760" s="21"/>
      <c r="K760" s="22"/>
      <c r="L760" s="21"/>
      <c r="M760" s="21"/>
    </row>
    <row r="761" spans="1:13" ht="17.25" customHeight="1">
      <c r="A761" s="19"/>
      <c r="B761" s="5"/>
      <c r="C761" s="5"/>
      <c r="D761" s="5"/>
      <c r="E761" s="11"/>
      <c r="F761" s="12"/>
      <c r="G761" s="11"/>
      <c r="H761" s="11"/>
      <c r="I761" s="21"/>
      <c r="J761" s="21"/>
      <c r="K761" s="22"/>
      <c r="L761" s="21"/>
      <c r="M761" s="21"/>
    </row>
    <row r="762" spans="1:13" ht="17.25" customHeight="1">
      <c r="A762" s="19"/>
      <c r="B762" s="5"/>
      <c r="C762" s="5"/>
      <c r="D762" s="5"/>
      <c r="E762" s="11"/>
      <c r="F762" s="12"/>
      <c r="G762" s="11"/>
      <c r="H762" s="11"/>
      <c r="I762" s="21"/>
      <c r="J762" s="21"/>
      <c r="K762" s="22"/>
      <c r="L762" s="21"/>
      <c r="M762" s="21"/>
    </row>
    <row r="763" spans="1:13" ht="17.25" customHeight="1">
      <c r="A763" s="19"/>
      <c r="B763" s="5"/>
      <c r="C763" s="5"/>
      <c r="D763" s="5"/>
      <c r="E763" s="11"/>
      <c r="F763" s="12"/>
      <c r="G763" s="11"/>
      <c r="H763" s="11"/>
      <c r="I763" s="21"/>
      <c r="J763" s="21"/>
      <c r="K763" s="22"/>
      <c r="L763" s="21"/>
      <c r="M763" s="21"/>
    </row>
    <row r="764" spans="1:13" ht="17.25" customHeight="1">
      <c r="A764" s="19"/>
      <c r="B764" s="5"/>
      <c r="C764" s="5"/>
      <c r="D764" s="5"/>
      <c r="E764" s="11"/>
      <c r="F764" s="12"/>
      <c r="G764" s="11"/>
      <c r="H764" s="11"/>
      <c r="I764" s="21"/>
      <c r="J764" s="21"/>
      <c r="K764" s="22"/>
      <c r="L764" s="21"/>
      <c r="M764" s="21"/>
    </row>
    <row r="765" spans="1:13" ht="17.25" customHeight="1">
      <c r="A765" s="19"/>
      <c r="B765" s="5"/>
      <c r="C765" s="5"/>
      <c r="D765" s="5"/>
      <c r="E765" s="11"/>
      <c r="F765" s="12"/>
      <c r="G765" s="11"/>
      <c r="H765" s="11"/>
      <c r="I765" s="21"/>
      <c r="J765" s="21"/>
      <c r="K765" s="22"/>
      <c r="L765" s="21"/>
      <c r="M765" s="21"/>
    </row>
    <row r="766" spans="1:13" ht="17.25" customHeight="1">
      <c r="A766" s="19"/>
      <c r="B766" s="5"/>
      <c r="C766" s="5"/>
      <c r="D766" s="5"/>
      <c r="E766" s="11"/>
      <c r="F766" s="12"/>
      <c r="G766" s="11"/>
      <c r="H766" s="11"/>
      <c r="I766" s="21"/>
      <c r="J766" s="21"/>
      <c r="K766" s="22"/>
      <c r="L766" s="21"/>
      <c r="M766" s="21"/>
    </row>
    <row r="767" spans="1:13" ht="17.25" customHeight="1">
      <c r="A767" s="19"/>
      <c r="B767" s="5"/>
      <c r="C767" s="5"/>
      <c r="D767" s="5"/>
      <c r="E767" s="11"/>
      <c r="F767" s="12"/>
      <c r="G767" s="11"/>
      <c r="H767" s="11"/>
      <c r="I767" s="21"/>
      <c r="J767" s="21"/>
      <c r="K767" s="22"/>
      <c r="L767" s="21"/>
      <c r="M767" s="21"/>
    </row>
    <row r="768" spans="1:13" ht="17.25" customHeight="1">
      <c r="A768" s="19"/>
      <c r="B768" s="5"/>
      <c r="C768" s="5"/>
      <c r="D768" s="5"/>
      <c r="E768" s="11"/>
      <c r="F768" s="12"/>
      <c r="G768" s="11"/>
      <c r="H768" s="11"/>
      <c r="I768" s="21"/>
      <c r="J768" s="21"/>
      <c r="K768" s="22"/>
      <c r="L768" s="21"/>
      <c r="M768" s="21"/>
    </row>
    <row r="769" spans="1:13" ht="17.25" customHeight="1">
      <c r="A769" s="19"/>
      <c r="B769" s="5"/>
      <c r="C769" s="5"/>
      <c r="D769" s="5"/>
      <c r="E769" s="11"/>
      <c r="F769" s="12"/>
      <c r="G769" s="11"/>
      <c r="H769" s="11"/>
      <c r="I769" s="21"/>
      <c r="J769" s="21"/>
      <c r="K769" s="22"/>
      <c r="L769" s="21"/>
      <c r="M769" s="21"/>
    </row>
    <row r="770" spans="1:13" ht="17.25" customHeight="1">
      <c r="A770" s="19"/>
      <c r="B770" s="5"/>
      <c r="C770" s="5"/>
      <c r="D770" s="5"/>
      <c r="E770" s="11"/>
      <c r="F770" s="12"/>
      <c r="G770" s="11"/>
      <c r="H770" s="11"/>
      <c r="I770" s="21"/>
      <c r="J770" s="21"/>
      <c r="K770" s="22"/>
      <c r="L770" s="21"/>
      <c r="M770" s="21"/>
    </row>
    <row r="771" spans="1:13" ht="17.25" customHeight="1">
      <c r="A771" s="19"/>
      <c r="B771" s="5"/>
      <c r="C771" s="5"/>
      <c r="D771" s="5"/>
      <c r="E771" s="11"/>
      <c r="F771" s="12"/>
      <c r="G771" s="11"/>
      <c r="H771" s="11"/>
      <c r="I771" s="21"/>
      <c r="J771" s="21"/>
      <c r="K771" s="22"/>
      <c r="L771" s="21"/>
      <c r="M771" s="21"/>
    </row>
    <row r="772" spans="1:13" ht="17.25" customHeight="1">
      <c r="A772" s="19"/>
      <c r="B772" s="5"/>
      <c r="C772" s="5"/>
      <c r="D772" s="5"/>
      <c r="E772" s="11"/>
      <c r="F772" s="12"/>
      <c r="G772" s="11"/>
      <c r="H772" s="11"/>
      <c r="I772" s="21"/>
      <c r="J772" s="21"/>
      <c r="K772" s="22"/>
      <c r="L772" s="21"/>
      <c r="M772" s="21"/>
    </row>
    <row r="773" spans="1:13" ht="17.25" customHeight="1">
      <c r="A773" s="19"/>
      <c r="B773" s="5"/>
      <c r="C773" s="5"/>
      <c r="D773" s="5"/>
      <c r="E773" s="11"/>
      <c r="F773" s="12"/>
      <c r="G773" s="11"/>
      <c r="H773" s="11"/>
      <c r="I773" s="21"/>
      <c r="J773" s="21"/>
      <c r="K773" s="22"/>
      <c r="L773" s="21"/>
      <c r="M773" s="21"/>
    </row>
    <row r="774" spans="1:13" ht="17.25" customHeight="1">
      <c r="A774" s="19"/>
      <c r="B774" s="5"/>
      <c r="C774" s="5"/>
      <c r="D774" s="5"/>
      <c r="E774" s="11"/>
      <c r="F774" s="12"/>
      <c r="G774" s="11"/>
      <c r="H774" s="11"/>
      <c r="I774" s="21"/>
      <c r="J774" s="21"/>
      <c r="K774" s="22"/>
      <c r="L774" s="21"/>
      <c r="M774" s="21"/>
    </row>
    <row r="775" spans="1:13" ht="17.25" customHeight="1">
      <c r="A775" s="19"/>
      <c r="B775" s="5"/>
      <c r="C775" s="5"/>
      <c r="D775" s="5"/>
      <c r="E775" s="11"/>
      <c r="F775" s="12"/>
      <c r="G775" s="11"/>
      <c r="H775" s="11"/>
      <c r="I775" s="21"/>
      <c r="J775" s="21"/>
      <c r="K775" s="22"/>
      <c r="L775" s="21"/>
      <c r="M775" s="21"/>
    </row>
    <row r="776" spans="1:13" ht="17.25" customHeight="1">
      <c r="A776" s="19"/>
      <c r="B776" s="5"/>
      <c r="C776" s="5"/>
      <c r="D776" s="5"/>
      <c r="E776" s="11"/>
      <c r="F776" s="12"/>
      <c r="G776" s="11"/>
      <c r="H776" s="11"/>
      <c r="I776" s="21"/>
      <c r="J776" s="21"/>
      <c r="K776" s="22"/>
      <c r="L776" s="21"/>
      <c r="M776" s="21"/>
    </row>
    <row r="777" spans="1:13" ht="17.25" customHeight="1">
      <c r="A777" s="19"/>
      <c r="B777" s="5"/>
      <c r="C777" s="5"/>
      <c r="D777" s="5"/>
      <c r="E777" s="11"/>
      <c r="F777" s="12"/>
      <c r="G777" s="11"/>
      <c r="H777" s="11"/>
      <c r="I777" s="21"/>
      <c r="J777" s="21"/>
      <c r="K777" s="22"/>
      <c r="L777" s="21"/>
      <c r="M777" s="21"/>
    </row>
    <row r="778" spans="1:13" ht="17.25" customHeight="1">
      <c r="A778" s="19"/>
      <c r="B778" s="5"/>
      <c r="C778" s="5"/>
      <c r="D778" s="5"/>
      <c r="E778" s="11"/>
      <c r="F778" s="12"/>
      <c r="G778" s="11"/>
      <c r="H778" s="11"/>
      <c r="I778" s="21"/>
      <c r="J778" s="21"/>
      <c r="K778" s="22"/>
      <c r="L778" s="21"/>
      <c r="M778" s="21"/>
    </row>
    <row r="779" spans="1:13" ht="17.25" customHeight="1">
      <c r="A779" s="19"/>
      <c r="B779" s="5"/>
      <c r="C779" s="5"/>
      <c r="D779" s="5"/>
      <c r="E779" s="11"/>
      <c r="F779" s="12"/>
      <c r="G779" s="11"/>
      <c r="H779" s="11"/>
      <c r="I779" s="21"/>
      <c r="J779" s="21"/>
      <c r="K779" s="22"/>
      <c r="L779" s="21"/>
      <c r="M779" s="21"/>
    </row>
    <row r="780" spans="1:13" ht="17.25" customHeight="1">
      <c r="A780" s="19"/>
      <c r="B780" s="5"/>
      <c r="C780" s="5"/>
      <c r="D780" s="5"/>
      <c r="E780" s="11"/>
      <c r="F780" s="12"/>
      <c r="G780" s="11"/>
      <c r="H780" s="11"/>
      <c r="I780" s="21"/>
      <c r="J780" s="21"/>
      <c r="K780" s="22"/>
      <c r="L780" s="21"/>
      <c r="M780" s="21"/>
    </row>
    <row r="781" spans="1:13" ht="17.25" customHeight="1">
      <c r="A781" s="19"/>
      <c r="B781" s="5"/>
      <c r="C781" s="5"/>
      <c r="D781" s="5"/>
      <c r="E781" s="11"/>
      <c r="F781" s="12"/>
      <c r="G781" s="11"/>
      <c r="H781" s="11"/>
      <c r="I781" s="21"/>
      <c r="J781" s="21"/>
      <c r="K781" s="22"/>
      <c r="L781" s="21"/>
      <c r="M781" s="21"/>
    </row>
    <row r="782" spans="1:13" ht="17.25" customHeight="1">
      <c r="A782" s="19"/>
      <c r="B782" s="5"/>
      <c r="C782" s="5"/>
      <c r="D782" s="5"/>
      <c r="E782" s="11"/>
      <c r="F782" s="12"/>
      <c r="G782" s="11"/>
      <c r="H782" s="11"/>
      <c r="I782" s="21"/>
      <c r="J782" s="21"/>
      <c r="K782" s="22"/>
      <c r="L782" s="21"/>
      <c r="M782" s="21"/>
    </row>
    <row r="783" spans="1:13" ht="17.25" customHeight="1">
      <c r="A783" s="19"/>
      <c r="B783" s="5"/>
      <c r="C783" s="5"/>
      <c r="D783" s="5"/>
      <c r="E783" s="11"/>
      <c r="F783" s="12"/>
      <c r="G783" s="11"/>
      <c r="H783" s="11"/>
      <c r="I783" s="21"/>
      <c r="J783" s="21"/>
      <c r="K783" s="22"/>
      <c r="L783" s="21"/>
      <c r="M783" s="21"/>
    </row>
    <row r="784" spans="1:13" ht="17.25" customHeight="1">
      <c r="A784" s="19"/>
      <c r="B784" s="5"/>
      <c r="C784" s="5"/>
      <c r="D784" s="5"/>
      <c r="E784" s="11"/>
      <c r="F784" s="12"/>
      <c r="G784" s="11"/>
      <c r="H784" s="11"/>
      <c r="I784" s="21"/>
      <c r="J784" s="21"/>
      <c r="K784" s="22"/>
      <c r="L784" s="21"/>
      <c r="M784" s="21"/>
    </row>
    <row r="785" spans="1:13" ht="17.25" customHeight="1">
      <c r="A785" s="19"/>
      <c r="B785" s="5"/>
      <c r="C785" s="5"/>
      <c r="D785" s="5"/>
      <c r="E785" s="11"/>
      <c r="F785" s="12"/>
      <c r="G785" s="11"/>
      <c r="H785" s="11"/>
      <c r="I785" s="21"/>
      <c r="J785" s="21"/>
      <c r="K785" s="22"/>
      <c r="L785" s="21"/>
      <c r="M785" s="21"/>
    </row>
    <row r="786" spans="1:13" ht="17.25" customHeight="1">
      <c r="A786" s="19"/>
      <c r="B786" s="5"/>
      <c r="C786" s="5"/>
      <c r="D786" s="5"/>
      <c r="E786" s="11"/>
      <c r="F786" s="12"/>
      <c r="G786" s="11"/>
      <c r="H786" s="11"/>
      <c r="I786" s="21"/>
      <c r="J786" s="21"/>
      <c r="K786" s="22"/>
      <c r="L786" s="21"/>
      <c r="M786" s="21"/>
    </row>
    <row r="787" spans="1:13" ht="17.25" customHeight="1">
      <c r="A787" s="19"/>
      <c r="B787" s="5"/>
      <c r="C787" s="5"/>
      <c r="D787" s="5"/>
      <c r="E787" s="11"/>
      <c r="F787" s="12"/>
      <c r="G787" s="11"/>
      <c r="H787" s="11"/>
      <c r="I787" s="21"/>
      <c r="J787" s="21"/>
      <c r="K787" s="22"/>
      <c r="L787" s="21"/>
      <c r="M787" s="21"/>
    </row>
    <row r="788" spans="1:13" ht="17.25" customHeight="1">
      <c r="A788" s="19"/>
      <c r="B788" s="5"/>
      <c r="C788" s="5"/>
      <c r="D788" s="5"/>
      <c r="E788" s="11"/>
      <c r="F788" s="12"/>
      <c r="G788" s="11"/>
      <c r="H788" s="11"/>
      <c r="I788" s="21"/>
      <c r="J788" s="21"/>
      <c r="K788" s="22"/>
      <c r="L788" s="21"/>
      <c r="M788" s="21"/>
    </row>
    <row r="789" spans="1:13" ht="17.25" customHeight="1">
      <c r="A789" s="19"/>
      <c r="B789" s="5"/>
      <c r="C789" s="5"/>
      <c r="D789" s="5"/>
      <c r="E789" s="11"/>
      <c r="F789" s="12"/>
      <c r="G789" s="11"/>
      <c r="H789" s="11"/>
      <c r="I789" s="21"/>
      <c r="J789" s="21"/>
      <c r="K789" s="22"/>
      <c r="L789" s="21"/>
      <c r="M789" s="21"/>
    </row>
    <row r="790" spans="1:13" ht="17.25" customHeight="1">
      <c r="A790" s="19"/>
      <c r="B790" s="5"/>
      <c r="C790" s="5"/>
      <c r="D790" s="5"/>
      <c r="E790" s="11"/>
      <c r="F790" s="12"/>
      <c r="G790" s="11"/>
      <c r="H790" s="11"/>
      <c r="I790" s="21"/>
      <c r="J790" s="21"/>
      <c r="K790" s="22"/>
      <c r="L790" s="21"/>
      <c r="M790" s="21"/>
    </row>
    <row r="791" spans="1:13" ht="17.25" customHeight="1">
      <c r="A791" s="19"/>
      <c r="B791" s="5"/>
      <c r="C791" s="5"/>
      <c r="D791" s="5"/>
      <c r="E791" s="11"/>
      <c r="F791" s="12"/>
      <c r="G791" s="11"/>
      <c r="H791" s="11"/>
      <c r="I791" s="21"/>
      <c r="J791" s="21"/>
      <c r="K791" s="22"/>
      <c r="L791" s="21"/>
      <c r="M791" s="21"/>
    </row>
    <row r="792" spans="1:13" ht="17.25" customHeight="1">
      <c r="A792" s="19"/>
      <c r="B792" s="5"/>
      <c r="C792" s="5"/>
      <c r="D792" s="5"/>
      <c r="E792" s="11"/>
      <c r="F792" s="12"/>
      <c r="G792" s="11"/>
      <c r="H792" s="11"/>
      <c r="I792" s="21"/>
      <c r="J792" s="21"/>
      <c r="K792" s="22"/>
      <c r="L792" s="21"/>
      <c r="M792" s="21"/>
    </row>
    <row r="793" spans="1:13" ht="17.25" customHeight="1">
      <c r="A793" s="19"/>
      <c r="B793" s="5"/>
      <c r="C793" s="5"/>
      <c r="D793" s="5"/>
      <c r="E793" s="11"/>
      <c r="F793" s="12"/>
      <c r="G793" s="11"/>
      <c r="H793" s="11"/>
      <c r="I793" s="21"/>
      <c r="J793" s="21"/>
      <c r="K793" s="22"/>
      <c r="L793" s="21"/>
      <c r="M793" s="21"/>
    </row>
    <row r="794" spans="1:13" ht="17.25" customHeight="1">
      <c r="A794" s="19"/>
      <c r="B794" s="5"/>
      <c r="C794" s="5"/>
      <c r="D794" s="5"/>
      <c r="E794" s="11"/>
      <c r="F794" s="12"/>
      <c r="G794" s="11"/>
      <c r="H794" s="11"/>
      <c r="I794" s="21"/>
      <c r="J794" s="21"/>
      <c r="K794" s="22"/>
      <c r="L794" s="21"/>
      <c r="M794" s="21"/>
    </row>
    <row r="795" spans="1:13" ht="17.25" customHeight="1">
      <c r="A795" s="19"/>
      <c r="B795" s="5"/>
      <c r="C795" s="5"/>
      <c r="D795" s="5"/>
      <c r="E795" s="11"/>
      <c r="F795" s="12"/>
      <c r="G795" s="11"/>
      <c r="H795" s="11"/>
      <c r="I795" s="21"/>
      <c r="J795" s="21"/>
      <c r="K795" s="22"/>
      <c r="L795" s="21"/>
      <c r="M795" s="21"/>
    </row>
    <row r="796" spans="1:13" ht="17.25" customHeight="1">
      <c r="A796" s="19"/>
      <c r="B796" s="5"/>
      <c r="C796" s="5"/>
      <c r="D796" s="5"/>
      <c r="E796" s="11"/>
      <c r="F796" s="12"/>
      <c r="G796" s="11"/>
      <c r="H796" s="11"/>
      <c r="I796" s="21"/>
      <c r="J796" s="21"/>
      <c r="K796" s="22"/>
      <c r="L796" s="21"/>
      <c r="M796" s="21"/>
    </row>
    <row r="797" spans="1:13" ht="17.25" customHeight="1">
      <c r="A797" s="19"/>
      <c r="B797" s="5"/>
      <c r="C797" s="5"/>
      <c r="D797" s="5"/>
      <c r="E797" s="11"/>
      <c r="F797" s="12"/>
      <c r="G797" s="11"/>
      <c r="H797" s="11"/>
      <c r="I797" s="21"/>
      <c r="J797" s="21"/>
      <c r="K797" s="22"/>
      <c r="L797" s="21"/>
      <c r="M797" s="21"/>
    </row>
    <row r="798" spans="1:13" ht="17.25" customHeight="1">
      <c r="A798" s="19"/>
      <c r="B798" s="5"/>
      <c r="C798" s="5"/>
      <c r="D798" s="5"/>
      <c r="E798" s="11"/>
      <c r="F798" s="12"/>
      <c r="G798" s="11"/>
      <c r="H798" s="11"/>
      <c r="I798" s="21"/>
      <c r="J798" s="21"/>
      <c r="K798" s="22"/>
      <c r="L798" s="21"/>
      <c r="M798" s="21"/>
    </row>
    <row r="799" spans="1:13" ht="17.25" customHeight="1">
      <c r="A799" s="19"/>
      <c r="B799" s="5"/>
      <c r="C799" s="5"/>
      <c r="D799" s="5"/>
      <c r="E799" s="11"/>
      <c r="F799" s="12"/>
      <c r="G799" s="11"/>
      <c r="H799" s="11"/>
      <c r="I799" s="21"/>
      <c r="J799" s="21"/>
      <c r="K799" s="22"/>
      <c r="L799" s="21"/>
      <c r="M799" s="21"/>
    </row>
    <row r="800" spans="1:13" ht="17.25" customHeight="1">
      <c r="A800" s="19"/>
      <c r="B800" s="5"/>
      <c r="C800" s="5"/>
      <c r="D800" s="5"/>
      <c r="E800" s="11"/>
      <c r="F800" s="12"/>
      <c r="G800" s="11"/>
      <c r="H800" s="11"/>
      <c r="I800" s="21"/>
      <c r="J800" s="21"/>
      <c r="K800" s="22"/>
      <c r="L800" s="21"/>
      <c r="M800" s="21"/>
    </row>
    <row r="801" spans="1:13" ht="17.25" customHeight="1">
      <c r="A801" s="19"/>
      <c r="B801" s="5"/>
      <c r="C801" s="5"/>
      <c r="D801" s="5"/>
      <c r="E801" s="11"/>
      <c r="F801" s="12"/>
      <c r="G801" s="11"/>
      <c r="H801" s="11"/>
      <c r="I801" s="21"/>
      <c r="J801" s="21"/>
      <c r="K801" s="22"/>
      <c r="L801" s="21"/>
      <c r="M801" s="21"/>
    </row>
    <row r="802" spans="1:13" ht="17.25" customHeight="1">
      <c r="A802" s="19"/>
      <c r="B802" s="5"/>
      <c r="C802" s="5"/>
      <c r="D802" s="5"/>
      <c r="E802" s="11"/>
      <c r="F802" s="12"/>
      <c r="G802" s="11"/>
      <c r="H802" s="11"/>
      <c r="I802" s="21"/>
      <c r="J802" s="21"/>
      <c r="K802" s="22"/>
      <c r="L802" s="21"/>
      <c r="M802" s="21"/>
    </row>
    <row r="803" spans="1:13" ht="17.25" customHeight="1">
      <c r="A803" s="19"/>
      <c r="B803" s="5"/>
      <c r="C803" s="5"/>
      <c r="D803" s="5"/>
      <c r="E803" s="11"/>
      <c r="F803" s="12"/>
      <c r="G803" s="11"/>
      <c r="H803" s="11"/>
      <c r="I803" s="21"/>
      <c r="J803" s="21"/>
      <c r="K803" s="22"/>
      <c r="L803" s="21"/>
      <c r="M803" s="21"/>
    </row>
    <row r="804" spans="1:13" ht="17.25" customHeight="1">
      <c r="A804" s="19"/>
      <c r="B804" s="5"/>
      <c r="C804" s="5"/>
      <c r="D804" s="5"/>
      <c r="E804" s="11"/>
      <c r="F804" s="12"/>
      <c r="G804" s="11"/>
      <c r="H804" s="11"/>
      <c r="I804" s="21"/>
      <c r="J804" s="21"/>
      <c r="K804" s="22"/>
      <c r="L804" s="21"/>
      <c r="M804" s="21"/>
    </row>
    <row r="805" spans="1:13" ht="17.25" customHeight="1">
      <c r="A805" s="19"/>
      <c r="B805" s="5"/>
      <c r="C805" s="5"/>
      <c r="D805" s="5"/>
      <c r="E805" s="11"/>
      <c r="F805" s="12"/>
      <c r="G805" s="11"/>
      <c r="H805" s="11"/>
      <c r="I805" s="21"/>
      <c r="J805" s="21"/>
      <c r="K805" s="22"/>
      <c r="L805" s="21"/>
      <c r="M805" s="21"/>
    </row>
    <row r="806" spans="1:13" ht="17.25" customHeight="1">
      <c r="A806" s="19"/>
      <c r="B806" s="5"/>
      <c r="C806" s="5"/>
      <c r="D806" s="5"/>
      <c r="E806" s="11"/>
      <c r="F806" s="12"/>
      <c r="G806" s="11"/>
      <c r="H806" s="11"/>
      <c r="I806" s="21"/>
      <c r="J806" s="21"/>
      <c r="K806" s="22"/>
      <c r="L806" s="21"/>
      <c r="M806" s="21"/>
    </row>
    <row r="807" spans="1:13" ht="17.25" customHeight="1">
      <c r="A807" s="19"/>
      <c r="B807" s="5"/>
      <c r="C807" s="5"/>
      <c r="D807" s="5"/>
      <c r="E807" s="11"/>
      <c r="F807" s="12"/>
      <c r="G807" s="11"/>
      <c r="H807" s="11"/>
      <c r="I807" s="21"/>
      <c r="J807" s="21"/>
      <c r="K807" s="22"/>
      <c r="L807" s="21"/>
      <c r="M807" s="21"/>
    </row>
    <row r="808" spans="1:13" ht="17.25" customHeight="1">
      <c r="A808" s="19"/>
      <c r="B808" s="5"/>
      <c r="C808" s="5"/>
      <c r="D808" s="5"/>
      <c r="E808" s="11"/>
      <c r="F808" s="12"/>
      <c r="G808" s="11"/>
      <c r="H808" s="11"/>
      <c r="I808" s="21"/>
      <c r="J808" s="21"/>
      <c r="K808" s="22"/>
      <c r="L808" s="21"/>
      <c r="M808" s="21"/>
    </row>
    <row r="809" spans="1:13" ht="17.25" customHeight="1">
      <c r="A809" s="19"/>
      <c r="B809" s="5"/>
      <c r="C809" s="5"/>
      <c r="D809" s="5"/>
      <c r="E809" s="11"/>
      <c r="F809" s="12"/>
      <c r="G809" s="11"/>
      <c r="H809" s="11"/>
      <c r="I809" s="21"/>
      <c r="J809" s="21"/>
      <c r="K809" s="22"/>
      <c r="L809" s="21"/>
      <c r="M809" s="21"/>
    </row>
    <row r="810" spans="1:13" ht="17.25" customHeight="1">
      <c r="A810" s="19"/>
      <c r="B810" s="5"/>
      <c r="C810" s="5"/>
      <c r="D810" s="5"/>
      <c r="E810" s="11"/>
      <c r="F810" s="12"/>
      <c r="G810" s="11"/>
      <c r="H810" s="11"/>
      <c r="I810" s="21"/>
      <c r="J810" s="21"/>
      <c r="K810" s="22"/>
      <c r="L810" s="21"/>
      <c r="M810" s="21"/>
    </row>
    <row r="811" spans="1:13" ht="17.25" customHeight="1">
      <c r="A811" s="19"/>
      <c r="B811" s="5"/>
      <c r="C811" s="5"/>
      <c r="D811" s="5"/>
      <c r="E811" s="11"/>
      <c r="F811" s="12"/>
      <c r="G811" s="11"/>
      <c r="H811" s="11"/>
      <c r="I811" s="21"/>
      <c r="J811" s="21"/>
      <c r="K811" s="22"/>
      <c r="L811" s="21"/>
      <c r="M811" s="21"/>
    </row>
    <row r="812" spans="1:13" ht="17.25" customHeight="1">
      <c r="A812" s="19"/>
      <c r="B812" s="5"/>
      <c r="C812" s="5"/>
      <c r="D812" s="5"/>
      <c r="E812" s="11"/>
      <c r="F812" s="12"/>
      <c r="G812" s="11"/>
      <c r="H812" s="11"/>
      <c r="I812" s="21"/>
      <c r="J812" s="21"/>
      <c r="K812" s="22"/>
      <c r="L812" s="21"/>
      <c r="M812" s="21"/>
    </row>
    <row r="813" spans="1:13" ht="17.25" customHeight="1">
      <c r="A813" s="19"/>
      <c r="B813" s="5"/>
      <c r="C813" s="5"/>
      <c r="D813" s="5"/>
      <c r="E813" s="11"/>
      <c r="F813" s="12"/>
      <c r="G813" s="11"/>
      <c r="H813" s="11"/>
      <c r="I813" s="21"/>
      <c r="J813" s="21"/>
      <c r="K813" s="22"/>
      <c r="L813" s="21"/>
      <c r="M813" s="21"/>
    </row>
    <row r="814" spans="1:13" ht="17.25" customHeight="1">
      <c r="A814" s="19"/>
      <c r="B814" s="5"/>
      <c r="C814" s="5"/>
      <c r="D814" s="5"/>
      <c r="E814" s="11"/>
      <c r="F814" s="12"/>
      <c r="G814" s="11"/>
      <c r="H814" s="11"/>
      <c r="I814" s="21"/>
      <c r="J814" s="21"/>
      <c r="K814" s="22"/>
      <c r="L814" s="21"/>
      <c r="M814" s="21"/>
    </row>
    <row r="815" spans="1:13" ht="17.25" customHeight="1">
      <c r="A815" s="19"/>
      <c r="B815" s="5"/>
      <c r="C815" s="5"/>
      <c r="D815" s="5"/>
      <c r="E815" s="11"/>
      <c r="F815" s="12"/>
      <c r="G815" s="11"/>
      <c r="H815" s="11"/>
      <c r="I815" s="21"/>
      <c r="J815" s="21"/>
      <c r="K815" s="22"/>
      <c r="L815" s="21"/>
      <c r="M815" s="21"/>
    </row>
    <row r="816" spans="1:13" ht="17.25" customHeight="1">
      <c r="A816" s="19"/>
      <c r="B816" s="5"/>
      <c r="C816" s="5"/>
      <c r="D816" s="5"/>
      <c r="E816" s="11"/>
      <c r="F816" s="12"/>
      <c r="G816" s="11"/>
      <c r="H816" s="11"/>
      <c r="I816" s="21"/>
      <c r="J816" s="21"/>
      <c r="K816" s="22"/>
      <c r="L816" s="21"/>
      <c r="M816" s="21"/>
    </row>
    <row r="817" spans="1:13" ht="17.25" customHeight="1">
      <c r="A817" s="19"/>
      <c r="B817" s="5"/>
      <c r="C817" s="5"/>
      <c r="D817" s="5"/>
      <c r="E817" s="11"/>
      <c r="F817" s="12"/>
      <c r="G817" s="11"/>
      <c r="H817" s="11"/>
      <c r="I817" s="21"/>
      <c r="J817" s="21"/>
      <c r="K817" s="22"/>
      <c r="L817" s="21"/>
      <c r="M817" s="21"/>
    </row>
    <row r="818" spans="1:13" ht="17.25" customHeight="1">
      <c r="A818" s="19"/>
      <c r="B818" s="5"/>
      <c r="C818" s="5"/>
      <c r="D818" s="5"/>
      <c r="E818" s="11"/>
      <c r="F818" s="12"/>
      <c r="G818" s="11"/>
      <c r="H818" s="11"/>
      <c r="I818" s="21"/>
      <c r="J818" s="21"/>
      <c r="K818" s="22"/>
      <c r="L818" s="21"/>
      <c r="M818" s="21"/>
    </row>
    <row r="819" spans="1:13" ht="17.25" customHeight="1">
      <c r="A819" s="19"/>
      <c r="B819" s="5"/>
      <c r="C819" s="5"/>
      <c r="D819" s="5"/>
      <c r="E819" s="11"/>
      <c r="F819" s="12"/>
      <c r="G819" s="11"/>
      <c r="H819" s="11"/>
      <c r="I819" s="21"/>
      <c r="J819" s="21"/>
      <c r="K819" s="22"/>
      <c r="L819" s="21"/>
      <c r="M819" s="21"/>
    </row>
    <row r="820" spans="1:13" ht="17.25" customHeight="1">
      <c r="A820" s="19"/>
      <c r="B820" s="5"/>
      <c r="C820" s="5"/>
      <c r="D820" s="5"/>
      <c r="E820" s="11"/>
      <c r="F820" s="12"/>
      <c r="G820" s="11"/>
      <c r="H820" s="11"/>
      <c r="I820" s="21"/>
      <c r="J820" s="21"/>
      <c r="K820" s="22"/>
      <c r="L820" s="21"/>
      <c r="M820" s="21"/>
    </row>
    <row r="821" spans="1:13" ht="17.25" customHeight="1">
      <c r="A821" s="19"/>
      <c r="B821" s="5"/>
      <c r="C821" s="5"/>
      <c r="D821" s="5"/>
      <c r="E821" s="11"/>
      <c r="F821" s="12"/>
      <c r="G821" s="11"/>
      <c r="H821" s="11"/>
      <c r="I821" s="21"/>
      <c r="J821" s="21"/>
      <c r="K821" s="22"/>
      <c r="L821" s="21"/>
      <c r="M821" s="21"/>
    </row>
    <row r="822" spans="1:13" ht="17.25" customHeight="1">
      <c r="A822" s="19"/>
      <c r="B822" s="5"/>
      <c r="C822" s="5"/>
      <c r="D822" s="5"/>
      <c r="E822" s="11"/>
      <c r="F822" s="12"/>
      <c r="G822" s="11"/>
      <c r="H822" s="11"/>
      <c r="I822" s="21"/>
      <c r="J822" s="21"/>
      <c r="K822" s="22"/>
      <c r="L822" s="21"/>
      <c r="M822" s="21"/>
    </row>
    <row r="823" spans="1:13" ht="17.25" customHeight="1">
      <c r="A823" s="19"/>
      <c r="B823" s="5"/>
      <c r="C823" s="5"/>
      <c r="D823" s="5"/>
      <c r="E823" s="11"/>
      <c r="F823" s="12"/>
      <c r="G823" s="11"/>
      <c r="H823" s="11"/>
      <c r="I823" s="21"/>
      <c r="J823" s="21"/>
      <c r="K823" s="22"/>
      <c r="L823" s="21"/>
      <c r="M823" s="21"/>
    </row>
    <row r="824" spans="1:13" ht="17.25" customHeight="1">
      <c r="A824" s="19"/>
      <c r="B824" s="5"/>
      <c r="C824" s="5"/>
      <c r="D824" s="5"/>
      <c r="E824" s="11"/>
      <c r="F824" s="12"/>
      <c r="G824" s="11"/>
      <c r="H824" s="11"/>
      <c r="I824" s="21"/>
      <c r="J824" s="21"/>
      <c r="K824" s="22"/>
      <c r="L824" s="21"/>
      <c r="M824" s="21"/>
    </row>
    <row r="825" spans="1:13" ht="17.25" customHeight="1">
      <c r="A825" s="19"/>
      <c r="B825" s="5"/>
      <c r="C825" s="5"/>
      <c r="D825" s="5"/>
      <c r="E825" s="11"/>
      <c r="F825" s="12"/>
      <c r="G825" s="11"/>
      <c r="H825" s="11"/>
      <c r="I825" s="21"/>
      <c r="J825" s="21"/>
      <c r="K825" s="22"/>
      <c r="L825" s="21"/>
      <c r="M825" s="21"/>
    </row>
    <row r="826" spans="1:13" ht="17.25" customHeight="1">
      <c r="A826" s="19"/>
      <c r="B826" s="5"/>
      <c r="C826" s="5"/>
      <c r="D826" s="5"/>
      <c r="E826" s="11"/>
      <c r="F826" s="12"/>
      <c r="G826" s="11"/>
      <c r="H826" s="11"/>
      <c r="I826" s="21"/>
      <c r="J826" s="21"/>
      <c r="K826" s="22"/>
      <c r="L826" s="21"/>
      <c r="M826" s="21"/>
    </row>
    <row r="827" spans="1:13" ht="17.25" customHeight="1">
      <c r="A827" s="19"/>
      <c r="B827" s="5"/>
      <c r="C827" s="5"/>
      <c r="D827" s="5"/>
      <c r="E827" s="11"/>
      <c r="F827" s="12"/>
      <c r="G827" s="11"/>
      <c r="H827" s="11"/>
      <c r="I827" s="21"/>
      <c r="J827" s="21"/>
      <c r="K827" s="22"/>
      <c r="L827" s="21"/>
      <c r="M827" s="21"/>
    </row>
    <row r="828" spans="1:13" ht="17.25" customHeight="1">
      <c r="A828" s="19"/>
      <c r="B828" s="5"/>
      <c r="C828" s="5"/>
      <c r="D828" s="5"/>
      <c r="E828" s="11"/>
      <c r="F828" s="12"/>
      <c r="G828" s="11"/>
      <c r="H828" s="11"/>
      <c r="I828" s="21"/>
      <c r="J828" s="21"/>
      <c r="K828" s="22"/>
      <c r="L828" s="21"/>
      <c r="M828" s="21"/>
    </row>
    <row r="829" spans="1:13" ht="17.25" customHeight="1">
      <c r="A829" s="19"/>
      <c r="B829" s="5"/>
      <c r="C829" s="5"/>
      <c r="D829" s="5"/>
      <c r="E829" s="11"/>
      <c r="F829" s="12"/>
      <c r="G829" s="11"/>
      <c r="H829" s="11"/>
      <c r="I829" s="21"/>
      <c r="J829" s="21"/>
      <c r="K829" s="22"/>
      <c r="L829" s="21"/>
      <c r="M829" s="21"/>
    </row>
    <row r="830" spans="1:13" ht="17.25" customHeight="1">
      <c r="A830" s="19"/>
      <c r="B830" s="5"/>
      <c r="C830" s="5"/>
      <c r="D830" s="5"/>
      <c r="E830" s="11"/>
      <c r="F830" s="12"/>
      <c r="G830" s="11"/>
      <c r="H830" s="11"/>
      <c r="I830" s="21"/>
      <c r="J830" s="21"/>
      <c r="K830" s="22"/>
      <c r="L830" s="21"/>
      <c r="M830" s="21"/>
    </row>
    <row r="831" spans="1:13" ht="17.25" customHeight="1">
      <c r="A831" s="19"/>
      <c r="B831" s="5"/>
      <c r="C831" s="5"/>
      <c r="D831" s="5"/>
      <c r="E831" s="11"/>
      <c r="F831" s="12"/>
      <c r="G831" s="11"/>
      <c r="H831" s="11"/>
      <c r="I831" s="21"/>
      <c r="J831" s="21"/>
      <c r="K831" s="22"/>
      <c r="L831" s="21"/>
      <c r="M831" s="21"/>
    </row>
    <row r="832" spans="1:13" ht="17.25" customHeight="1">
      <c r="A832" s="19"/>
      <c r="B832" s="5"/>
      <c r="C832" s="5"/>
      <c r="D832" s="5"/>
      <c r="E832" s="11"/>
      <c r="F832" s="12"/>
      <c r="G832" s="11"/>
      <c r="H832" s="11"/>
      <c r="I832" s="21"/>
      <c r="J832" s="21"/>
      <c r="K832" s="22"/>
      <c r="L832" s="21"/>
      <c r="M832" s="21"/>
    </row>
    <row r="833" spans="1:13" ht="17.25" customHeight="1">
      <c r="A833" s="19"/>
      <c r="B833" s="5"/>
      <c r="C833" s="5"/>
      <c r="D833" s="5"/>
      <c r="E833" s="11"/>
      <c r="F833" s="12"/>
      <c r="G833" s="11"/>
      <c r="H833" s="11"/>
      <c r="I833" s="21"/>
      <c r="J833" s="21"/>
      <c r="K833" s="22"/>
      <c r="L833" s="21"/>
      <c r="M833" s="21"/>
    </row>
    <row r="834" spans="1:13" ht="17.25" customHeight="1">
      <c r="A834" s="19"/>
      <c r="B834" s="5"/>
      <c r="C834" s="5"/>
      <c r="D834" s="5"/>
      <c r="E834" s="11"/>
      <c r="F834" s="12"/>
      <c r="G834" s="11"/>
      <c r="H834" s="11"/>
      <c r="I834" s="21"/>
      <c r="J834" s="21"/>
      <c r="K834" s="22"/>
      <c r="L834" s="21"/>
      <c r="M834" s="21"/>
    </row>
    <row r="835" spans="1:13" ht="17.25" customHeight="1">
      <c r="A835" s="19"/>
      <c r="B835" s="5"/>
      <c r="C835" s="5"/>
      <c r="D835" s="5"/>
      <c r="E835" s="11"/>
      <c r="F835" s="12"/>
      <c r="G835" s="11"/>
      <c r="H835" s="11"/>
      <c r="I835" s="21"/>
      <c r="J835" s="21"/>
      <c r="K835" s="22"/>
      <c r="L835" s="21"/>
      <c r="M835" s="21"/>
    </row>
    <row r="836" spans="1:13" ht="17.25" customHeight="1">
      <c r="A836" s="19"/>
      <c r="B836" s="5"/>
      <c r="C836" s="5"/>
      <c r="D836" s="5"/>
      <c r="E836" s="11"/>
      <c r="F836" s="12"/>
      <c r="G836" s="11"/>
      <c r="H836" s="11"/>
      <c r="I836" s="21"/>
      <c r="J836" s="21"/>
      <c r="K836" s="22"/>
      <c r="L836" s="21"/>
      <c r="M836" s="21"/>
    </row>
    <row r="837" spans="1:13" ht="17.25" customHeight="1">
      <c r="A837" s="19"/>
      <c r="B837" s="5"/>
      <c r="C837" s="5"/>
      <c r="D837" s="5"/>
      <c r="E837" s="11"/>
      <c r="F837" s="12"/>
      <c r="G837" s="11"/>
      <c r="H837" s="11"/>
      <c r="I837" s="21"/>
      <c r="J837" s="21"/>
      <c r="K837" s="22"/>
      <c r="L837" s="21"/>
      <c r="M837" s="21"/>
    </row>
    <row r="838" spans="1:13" ht="17.25" customHeight="1">
      <c r="A838" s="19"/>
      <c r="B838" s="5"/>
      <c r="C838" s="5"/>
      <c r="D838" s="5"/>
      <c r="E838" s="11"/>
      <c r="F838" s="12"/>
      <c r="G838" s="11"/>
      <c r="H838" s="11"/>
      <c r="I838" s="21"/>
      <c r="J838" s="21"/>
      <c r="K838" s="22"/>
      <c r="L838" s="21"/>
      <c r="M838" s="21"/>
    </row>
    <row r="839" spans="1:13" ht="17.25" customHeight="1">
      <c r="A839" s="19"/>
      <c r="B839" s="5"/>
      <c r="C839" s="5"/>
      <c r="D839" s="5"/>
      <c r="E839" s="11"/>
      <c r="F839" s="12"/>
      <c r="G839" s="11"/>
      <c r="H839" s="11"/>
      <c r="I839" s="21"/>
      <c r="J839" s="21"/>
      <c r="K839" s="22"/>
      <c r="L839" s="21"/>
      <c r="M839" s="21"/>
    </row>
    <row r="840" spans="1:13" ht="17.25" customHeight="1">
      <c r="A840" s="19"/>
      <c r="B840" s="5"/>
      <c r="C840" s="5"/>
      <c r="D840" s="5"/>
      <c r="E840" s="11"/>
      <c r="F840" s="12"/>
      <c r="G840" s="11"/>
      <c r="H840" s="11"/>
      <c r="I840" s="21"/>
      <c r="J840" s="21"/>
      <c r="K840" s="22"/>
      <c r="L840" s="21"/>
      <c r="M840" s="21"/>
    </row>
    <row r="841" spans="1:13" ht="17.25" customHeight="1">
      <c r="A841" s="19"/>
      <c r="B841" s="5"/>
      <c r="C841" s="5"/>
      <c r="D841" s="5"/>
      <c r="E841" s="11"/>
      <c r="F841" s="12"/>
      <c r="G841" s="11"/>
      <c r="H841" s="11"/>
      <c r="I841" s="21"/>
      <c r="J841" s="21"/>
      <c r="K841" s="22"/>
      <c r="L841" s="21"/>
      <c r="M841" s="21"/>
    </row>
    <row r="842" spans="1:13" ht="17.25" customHeight="1">
      <c r="A842" s="19"/>
      <c r="B842" s="5"/>
      <c r="C842" s="5"/>
      <c r="D842" s="5"/>
      <c r="E842" s="11"/>
      <c r="F842" s="12"/>
      <c r="G842" s="11"/>
      <c r="H842" s="11"/>
      <c r="I842" s="21"/>
      <c r="J842" s="21"/>
      <c r="K842" s="22"/>
      <c r="L842" s="21"/>
      <c r="M842" s="21"/>
    </row>
    <row r="843" spans="1:13" ht="17.25" customHeight="1">
      <c r="A843" s="19"/>
      <c r="B843" s="5"/>
      <c r="C843" s="5"/>
      <c r="D843" s="5"/>
      <c r="E843" s="11"/>
      <c r="F843" s="12"/>
      <c r="G843" s="11"/>
      <c r="H843" s="11"/>
      <c r="I843" s="21"/>
      <c r="J843" s="21"/>
      <c r="K843" s="22"/>
      <c r="L843" s="21"/>
      <c r="M843" s="21"/>
    </row>
    <row r="844" spans="1:13" ht="17.25" customHeight="1">
      <c r="A844" s="19"/>
      <c r="B844" s="5"/>
      <c r="C844" s="5"/>
      <c r="D844" s="5"/>
      <c r="E844" s="11"/>
      <c r="F844" s="12"/>
      <c r="G844" s="11"/>
      <c r="H844" s="11"/>
      <c r="I844" s="21"/>
      <c r="J844" s="21"/>
      <c r="K844" s="22"/>
      <c r="L844" s="21"/>
      <c r="M844" s="21"/>
    </row>
    <row r="845" spans="1:13" ht="17.25" customHeight="1">
      <c r="A845" s="19"/>
      <c r="B845" s="5"/>
      <c r="C845" s="5"/>
      <c r="D845" s="5"/>
      <c r="E845" s="11"/>
      <c r="F845" s="12"/>
      <c r="G845" s="11"/>
      <c r="H845" s="11"/>
      <c r="I845" s="21"/>
      <c r="J845" s="21"/>
      <c r="K845" s="22"/>
      <c r="L845" s="21"/>
      <c r="M845" s="21"/>
    </row>
    <row r="846" spans="1:13" ht="17.25" customHeight="1">
      <c r="A846" s="19"/>
      <c r="B846" s="5"/>
      <c r="C846" s="5"/>
      <c r="D846" s="5"/>
      <c r="E846" s="11"/>
      <c r="F846" s="12"/>
      <c r="G846" s="11"/>
      <c r="H846" s="11"/>
      <c r="I846" s="21"/>
      <c r="J846" s="21"/>
      <c r="K846" s="22"/>
      <c r="L846" s="21"/>
      <c r="M846" s="21"/>
    </row>
    <row r="847" spans="1:13" ht="17.25" customHeight="1">
      <c r="A847" s="19"/>
      <c r="B847" s="5"/>
      <c r="C847" s="5"/>
      <c r="D847" s="5"/>
      <c r="E847" s="11"/>
      <c r="F847" s="12"/>
      <c r="G847" s="11"/>
      <c r="H847" s="11"/>
      <c r="I847" s="21"/>
      <c r="J847" s="21"/>
      <c r="K847" s="22"/>
      <c r="L847" s="21"/>
      <c r="M847" s="21"/>
    </row>
    <row r="848" spans="1:13" ht="17.25" customHeight="1">
      <c r="A848" s="19"/>
      <c r="B848" s="5"/>
      <c r="C848" s="5"/>
      <c r="D848" s="5"/>
      <c r="E848" s="11"/>
      <c r="F848" s="12"/>
      <c r="G848" s="11"/>
      <c r="H848" s="11"/>
      <c r="I848" s="21"/>
    </row>
  </sheetData>
  <autoFilter ref="A1:K584"/>
  <sortState ref="A2:M589">
    <sortCondition ref="A2:A589"/>
    <sortCondition ref="G2:G589"/>
  </sortState>
  <phoneticPr fontId="0" type="noConversion"/>
  <pageMargins left="0.3" right="0.24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>
    <tabColor rgb="FFFF0000"/>
  </sheetPr>
  <dimension ref="A1:J291"/>
  <sheetViews>
    <sheetView showZeros="0" zoomScale="85" zoomScaleNormal="85" zoomScaleSheetLayoutView="100" workbookViewId="0">
      <pane ySplit="1" topLeftCell="A47" activePane="bottomLeft" state="frozenSplit"/>
      <selection pane="bottomLeft" activeCell="B279" sqref="B279"/>
    </sheetView>
  </sheetViews>
  <sheetFormatPr defaultRowHeight="18.75"/>
  <cols>
    <col min="1" max="1" width="9" style="42" bestFit="1" customWidth="1"/>
    <col min="2" max="2" width="19" style="42" bestFit="1" customWidth="1"/>
    <col min="3" max="3" width="20.28515625" style="42" bestFit="1" customWidth="1"/>
    <col min="4" max="4" width="20.85546875" style="42" bestFit="1" customWidth="1"/>
    <col min="5" max="5" width="16" style="42" customWidth="1"/>
    <col min="6" max="6" width="15" style="43" bestFit="1" customWidth="1"/>
    <col min="7" max="7" width="9" style="42" bestFit="1" customWidth="1"/>
    <col min="8" max="8" width="40.85546875" style="42" bestFit="1" customWidth="1"/>
    <col min="9" max="9" width="36" style="42" bestFit="1" customWidth="1"/>
    <col min="10" max="10" width="9" style="42" bestFit="1" customWidth="1"/>
    <col min="11" max="16384" width="9.140625" style="42"/>
  </cols>
  <sheetData>
    <row r="1" spans="1:10" s="36" customFormat="1" ht="24.75" customHeight="1">
      <c r="A1" s="35" t="s">
        <v>519</v>
      </c>
      <c r="B1" s="35" t="s">
        <v>0</v>
      </c>
      <c r="C1" s="35" t="s">
        <v>1</v>
      </c>
      <c r="D1" s="35" t="s">
        <v>934</v>
      </c>
      <c r="E1" s="35" t="s">
        <v>935</v>
      </c>
      <c r="F1" s="35" t="s">
        <v>936</v>
      </c>
      <c r="G1" s="35" t="s">
        <v>519</v>
      </c>
      <c r="H1" s="35" t="s">
        <v>614</v>
      </c>
      <c r="J1" s="35" t="s">
        <v>519</v>
      </c>
    </row>
    <row r="2" spans="1:10" s="41" customFormat="1" ht="22.5" customHeight="1">
      <c r="A2" s="37">
        <v>1</v>
      </c>
      <c r="B2" s="38" t="s">
        <v>11</v>
      </c>
      <c r="C2" s="38" t="s">
        <v>242</v>
      </c>
      <c r="D2" s="38" t="s">
        <v>243</v>
      </c>
      <c r="E2" s="39"/>
      <c r="F2" s="40" t="s">
        <v>382</v>
      </c>
      <c r="G2" s="37">
        <v>1</v>
      </c>
      <c r="H2" s="64" t="s">
        <v>971</v>
      </c>
      <c r="I2" s="41" t="s">
        <v>1172</v>
      </c>
      <c r="J2" s="37">
        <v>1</v>
      </c>
    </row>
    <row r="3" spans="1:10" s="41" customFormat="1" ht="22.5" customHeight="1">
      <c r="A3" s="37">
        <v>2</v>
      </c>
      <c r="B3" s="38" t="s">
        <v>11</v>
      </c>
      <c r="C3" s="38" t="s">
        <v>616</v>
      </c>
      <c r="D3" s="38" t="s">
        <v>131</v>
      </c>
      <c r="E3" s="39"/>
      <c r="F3" s="40" t="s">
        <v>617</v>
      </c>
      <c r="G3" s="37">
        <v>2</v>
      </c>
      <c r="H3" s="64" t="s">
        <v>974</v>
      </c>
      <c r="I3" s="41" t="s">
        <v>1173</v>
      </c>
      <c r="J3" s="37">
        <v>2</v>
      </c>
    </row>
    <row r="4" spans="1:10" s="41" customFormat="1" ht="22.5" customHeight="1">
      <c r="A4" s="37">
        <v>3</v>
      </c>
      <c r="B4" s="38" t="s">
        <v>11</v>
      </c>
      <c r="C4" s="38" t="s">
        <v>173</v>
      </c>
      <c r="D4" s="38" t="s">
        <v>174</v>
      </c>
      <c r="E4" s="39"/>
      <c r="F4" s="40" t="s">
        <v>383</v>
      </c>
      <c r="G4" s="37">
        <v>3</v>
      </c>
      <c r="H4" s="64" t="s">
        <v>587</v>
      </c>
      <c r="I4" s="41" t="s">
        <v>1440</v>
      </c>
      <c r="J4" s="37">
        <v>3</v>
      </c>
    </row>
    <row r="5" spans="1:10" s="41" customFormat="1" ht="22.5" customHeight="1">
      <c r="A5" s="37">
        <v>4</v>
      </c>
      <c r="B5" s="38" t="s">
        <v>11</v>
      </c>
      <c r="C5" s="38" t="s">
        <v>250</v>
      </c>
      <c r="D5" s="38" t="s">
        <v>251</v>
      </c>
      <c r="E5" s="39"/>
      <c r="F5" s="40" t="s">
        <v>618</v>
      </c>
      <c r="G5" s="37">
        <v>4</v>
      </c>
      <c r="H5" s="64" t="s">
        <v>1351</v>
      </c>
      <c r="I5" s="41" t="s">
        <v>1441</v>
      </c>
      <c r="J5" s="37">
        <v>4</v>
      </c>
    </row>
    <row r="6" spans="1:10" s="41" customFormat="1" ht="22.5" customHeight="1">
      <c r="A6" s="37">
        <v>5</v>
      </c>
      <c r="B6" s="38" t="s">
        <v>11</v>
      </c>
      <c r="C6" s="38" t="s">
        <v>619</v>
      </c>
      <c r="D6" s="38" t="s">
        <v>16</v>
      </c>
      <c r="E6" s="39"/>
      <c r="F6" s="40" t="s">
        <v>620</v>
      </c>
      <c r="G6" s="37">
        <v>5</v>
      </c>
      <c r="H6" s="64" t="s">
        <v>993</v>
      </c>
      <c r="I6" s="41" t="s">
        <v>1174</v>
      </c>
      <c r="J6" s="37">
        <v>5</v>
      </c>
    </row>
    <row r="7" spans="1:10" s="41" customFormat="1" ht="22.5" customHeight="1">
      <c r="A7" s="37">
        <v>6</v>
      </c>
      <c r="B7" s="38" t="s">
        <v>14</v>
      </c>
      <c r="C7" s="38" t="s">
        <v>15</v>
      </c>
      <c r="D7" s="38" t="s">
        <v>16</v>
      </c>
      <c r="E7" s="39"/>
      <c r="F7" s="40" t="s">
        <v>384</v>
      </c>
      <c r="G7" s="37">
        <v>6</v>
      </c>
      <c r="H7" s="64" t="s">
        <v>587</v>
      </c>
      <c r="I7" s="41" t="s">
        <v>1442</v>
      </c>
      <c r="J7" s="37">
        <v>6</v>
      </c>
    </row>
    <row r="8" spans="1:10" s="41" customFormat="1" ht="22.5" customHeight="1">
      <c r="A8" s="37">
        <v>7</v>
      </c>
      <c r="B8" s="38" t="s">
        <v>14</v>
      </c>
      <c r="C8" s="38" t="s">
        <v>240</v>
      </c>
      <c r="D8" s="38" t="s">
        <v>199</v>
      </c>
      <c r="E8" s="39"/>
      <c r="F8" s="40" t="s">
        <v>385</v>
      </c>
      <c r="G8" s="37">
        <v>7</v>
      </c>
      <c r="H8" s="64" t="s">
        <v>587</v>
      </c>
      <c r="I8" s="41" t="s">
        <v>1443</v>
      </c>
      <c r="J8" s="37">
        <v>7</v>
      </c>
    </row>
    <row r="9" spans="1:10" s="41" customFormat="1" ht="22.5" customHeight="1">
      <c r="A9" s="37">
        <v>8</v>
      </c>
      <c r="B9" s="38" t="s">
        <v>14</v>
      </c>
      <c r="C9" s="38" t="s">
        <v>621</v>
      </c>
      <c r="D9" s="38" t="s">
        <v>622</v>
      </c>
      <c r="E9" s="39"/>
      <c r="F9" s="40" t="s">
        <v>623</v>
      </c>
      <c r="G9" s="37">
        <v>8</v>
      </c>
      <c r="H9" s="64" t="s">
        <v>1352</v>
      </c>
      <c r="I9" s="41" t="s">
        <v>1444</v>
      </c>
      <c r="J9" s="37">
        <v>8</v>
      </c>
    </row>
    <row r="10" spans="1:10" s="41" customFormat="1" ht="22.5" customHeight="1">
      <c r="A10" s="37">
        <v>9</v>
      </c>
      <c r="B10" s="38" t="s">
        <v>14</v>
      </c>
      <c r="C10" s="38" t="s">
        <v>624</v>
      </c>
      <c r="D10" s="38" t="s">
        <v>625</v>
      </c>
      <c r="E10" s="39"/>
      <c r="F10" s="40" t="s">
        <v>626</v>
      </c>
      <c r="G10" s="37">
        <v>9</v>
      </c>
      <c r="H10" s="64" t="s">
        <v>587</v>
      </c>
      <c r="I10" s="41" t="s">
        <v>1175</v>
      </c>
      <c r="J10" s="37">
        <v>9</v>
      </c>
    </row>
    <row r="11" spans="1:10" s="41" customFormat="1" ht="22.5" customHeight="1">
      <c r="A11" s="37">
        <v>10</v>
      </c>
      <c r="B11" s="38" t="s">
        <v>19</v>
      </c>
      <c r="C11" s="38" t="s">
        <v>21</v>
      </c>
      <c r="D11" s="38" t="s">
        <v>22</v>
      </c>
      <c r="E11" s="39"/>
      <c r="F11" s="40" t="s">
        <v>386</v>
      </c>
      <c r="G11" s="37">
        <v>10</v>
      </c>
      <c r="H11" s="64" t="s">
        <v>1353</v>
      </c>
      <c r="I11" s="41" t="s">
        <v>1445</v>
      </c>
      <c r="J11" s="37">
        <v>10</v>
      </c>
    </row>
    <row r="12" spans="1:10" s="41" customFormat="1" ht="22.5" customHeight="1">
      <c r="A12" s="37">
        <v>11</v>
      </c>
      <c r="B12" s="38" t="s">
        <v>19</v>
      </c>
      <c r="C12" s="38" t="s">
        <v>244</v>
      </c>
      <c r="D12" s="38" t="s">
        <v>13</v>
      </c>
      <c r="E12" s="39"/>
      <c r="F12" s="40" t="s">
        <v>387</v>
      </c>
      <c r="G12" s="37">
        <v>11</v>
      </c>
      <c r="H12" s="64" t="s">
        <v>1354</v>
      </c>
      <c r="I12" s="41" t="s">
        <v>1446</v>
      </c>
      <c r="J12" s="37">
        <v>11</v>
      </c>
    </row>
    <row r="13" spans="1:10" s="41" customFormat="1" ht="22.5" customHeight="1">
      <c r="A13" s="37">
        <v>12</v>
      </c>
      <c r="B13" s="38" t="s">
        <v>19</v>
      </c>
      <c r="C13" s="38" t="s">
        <v>627</v>
      </c>
      <c r="D13" s="38" t="s">
        <v>90</v>
      </c>
      <c r="E13" s="39"/>
      <c r="F13" s="40" t="s">
        <v>628</v>
      </c>
      <c r="G13" s="37">
        <v>12</v>
      </c>
      <c r="H13" s="64" t="s">
        <v>587</v>
      </c>
      <c r="I13" s="41" t="s">
        <v>1176</v>
      </c>
      <c r="J13" s="37">
        <v>12</v>
      </c>
    </row>
    <row r="14" spans="1:10" s="41" customFormat="1" ht="22.5" customHeight="1">
      <c r="A14" s="37">
        <v>13</v>
      </c>
      <c r="B14" s="38" t="s">
        <v>23</v>
      </c>
      <c r="C14" s="38" t="s">
        <v>629</v>
      </c>
      <c r="D14" s="38" t="s">
        <v>175</v>
      </c>
      <c r="E14" s="39"/>
      <c r="F14" s="40" t="s">
        <v>630</v>
      </c>
      <c r="G14" s="37">
        <v>13</v>
      </c>
      <c r="H14" s="64" t="s">
        <v>992</v>
      </c>
      <c r="I14" s="41" t="s">
        <v>1177</v>
      </c>
      <c r="J14" s="37">
        <v>13</v>
      </c>
    </row>
    <row r="15" spans="1:10" s="41" customFormat="1" ht="22.5" customHeight="1">
      <c r="A15" s="37">
        <v>14</v>
      </c>
      <c r="B15" s="38" t="s">
        <v>26</v>
      </c>
      <c r="C15" s="38" t="s">
        <v>245</v>
      </c>
      <c r="D15" s="38" t="s">
        <v>193</v>
      </c>
      <c r="E15" s="39"/>
      <c r="F15" s="40" t="s">
        <v>388</v>
      </c>
      <c r="G15" s="37">
        <v>14</v>
      </c>
      <c r="H15" s="64" t="s">
        <v>1355</v>
      </c>
      <c r="I15" s="41" t="s">
        <v>1447</v>
      </c>
      <c r="J15" s="37">
        <v>14</v>
      </c>
    </row>
    <row r="16" spans="1:10" s="41" customFormat="1" ht="22.5" customHeight="1">
      <c r="A16" s="37">
        <v>15</v>
      </c>
      <c r="B16" s="38" t="s">
        <v>26</v>
      </c>
      <c r="C16" s="38" t="s">
        <v>28</v>
      </c>
      <c r="D16" s="38" t="s">
        <v>29</v>
      </c>
      <c r="E16" s="39"/>
      <c r="F16" s="40" t="s">
        <v>389</v>
      </c>
      <c r="G16" s="37">
        <v>15</v>
      </c>
      <c r="H16" s="64" t="s">
        <v>587</v>
      </c>
      <c r="I16" s="41" t="s">
        <v>1448</v>
      </c>
      <c r="J16" s="37">
        <v>15</v>
      </c>
    </row>
    <row r="17" spans="1:10" s="41" customFormat="1" ht="22.5" customHeight="1">
      <c r="A17" s="37">
        <v>16</v>
      </c>
      <c r="B17" s="38" t="s">
        <v>30</v>
      </c>
      <c r="C17" s="38" t="s">
        <v>631</v>
      </c>
      <c r="D17" s="38" t="s">
        <v>120</v>
      </c>
      <c r="E17" s="39"/>
      <c r="F17" s="40" t="s">
        <v>632</v>
      </c>
      <c r="G17" s="37">
        <v>16</v>
      </c>
      <c r="H17" s="64" t="s">
        <v>1014</v>
      </c>
      <c r="I17" s="41" t="s">
        <v>1178</v>
      </c>
      <c r="J17" s="37">
        <v>16</v>
      </c>
    </row>
    <row r="18" spans="1:10" s="41" customFormat="1" ht="22.5" customHeight="1">
      <c r="A18" s="37">
        <v>17</v>
      </c>
      <c r="B18" s="38" t="s">
        <v>30</v>
      </c>
      <c r="C18" s="38" t="s">
        <v>633</v>
      </c>
      <c r="D18" s="38" t="s">
        <v>634</v>
      </c>
      <c r="E18" s="39"/>
      <c r="F18" s="40" t="s">
        <v>635</v>
      </c>
      <c r="G18" s="37">
        <v>17</v>
      </c>
      <c r="H18" s="64" t="s">
        <v>984</v>
      </c>
      <c r="I18" s="41" t="s">
        <v>1179</v>
      </c>
      <c r="J18" s="37">
        <v>17</v>
      </c>
    </row>
    <row r="19" spans="1:10" s="41" customFormat="1" ht="22.5" customHeight="1">
      <c r="A19" s="37">
        <v>18</v>
      </c>
      <c r="B19" s="38" t="s">
        <v>31</v>
      </c>
      <c r="C19" s="38" t="s">
        <v>178</v>
      </c>
      <c r="D19" s="38" t="s">
        <v>179</v>
      </c>
      <c r="E19" s="39"/>
      <c r="F19" s="40" t="s">
        <v>636</v>
      </c>
      <c r="G19" s="37">
        <v>18</v>
      </c>
      <c r="H19" s="64" t="s">
        <v>1356</v>
      </c>
      <c r="I19" s="41" t="s">
        <v>1449</v>
      </c>
      <c r="J19" s="37">
        <v>18</v>
      </c>
    </row>
    <row r="20" spans="1:10" s="41" customFormat="1" ht="22.5" customHeight="1">
      <c r="A20" s="37">
        <v>19</v>
      </c>
      <c r="B20" s="38" t="s">
        <v>31</v>
      </c>
      <c r="C20" s="38" t="s">
        <v>75</v>
      </c>
      <c r="D20" s="38" t="s">
        <v>79</v>
      </c>
      <c r="E20" s="39"/>
      <c r="F20" s="40" t="s">
        <v>391</v>
      </c>
      <c r="G20" s="37">
        <v>19</v>
      </c>
      <c r="H20" s="64" t="s">
        <v>1357</v>
      </c>
      <c r="I20" s="41" t="s">
        <v>1450</v>
      </c>
      <c r="J20" s="37">
        <v>19</v>
      </c>
    </row>
    <row r="21" spans="1:10" s="41" customFormat="1" ht="22.5" customHeight="1">
      <c r="A21" s="37">
        <v>20</v>
      </c>
      <c r="B21" s="38" t="s">
        <v>31</v>
      </c>
      <c r="C21" s="38" t="s">
        <v>15</v>
      </c>
      <c r="D21" s="38" t="s">
        <v>637</v>
      </c>
      <c r="E21" s="39"/>
      <c r="F21" s="40" t="s">
        <v>638</v>
      </c>
      <c r="G21" s="37">
        <v>20</v>
      </c>
      <c r="H21" s="64" t="s">
        <v>1358</v>
      </c>
      <c r="I21" s="41" t="s">
        <v>1451</v>
      </c>
      <c r="J21" s="37">
        <v>20</v>
      </c>
    </row>
    <row r="22" spans="1:10" s="41" customFormat="1" ht="22.5" customHeight="1">
      <c r="A22" s="37">
        <v>21</v>
      </c>
      <c r="B22" s="38" t="s">
        <v>31</v>
      </c>
      <c r="C22" s="38" t="s">
        <v>176</v>
      </c>
      <c r="D22" s="38" t="s">
        <v>177</v>
      </c>
      <c r="E22" s="39"/>
      <c r="F22" s="40" t="s">
        <v>390</v>
      </c>
      <c r="G22" s="37">
        <v>21</v>
      </c>
      <c r="H22" s="64" t="s">
        <v>588</v>
      </c>
      <c r="I22" s="41" t="s">
        <v>1452</v>
      </c>
      <c r="J22" s="37">
        <v>21</v>
      </c>
    </row>
    <row r="23" spans="1:10" s="41" customFormat="1" ht="22.5" customHeight="1">
      <c r="A23" s="37">
        <v>22</v>
      </c>
      <c r="B23" s="38" t="s">
        <v>31</v>
      </c>
      <c r="C23" s="38" t="s">
        <v>246</v>
      </c>
      <c r="D23" s="38" t="s">
        <v>113</v>
      </c>
      <c r="E23" s="39"/>
      <c r="F23" s="40" t="s">
        <v>392</v>
      </c>
      <c r="G23" s="37">
        <v>22</v>
      </c>
      <c r="H23" s="64" t="s">
        <v>590</v>
      </c>
      <c r="I23" s="41" t="s">
        <v>1180</v>
      </c>
      <c r="J23" s="37">
        <v>22</v>
      </c>
    </row>
    <row r="24" spans="1:10" s="41" customFormat="1" ht="22.5" customHeight="1">
      <c r="A24" s="37">
        <v>23</v>
      </c>
      <c r="B24" s="38" t="s">
        <v>31</v>
      </c>
      <c r="C24" s="38" t="s">
        <v>247</v>
      </c>
      <c r="D24" s="38" t="s">
        <v>248</v>
      </c>
      <c r="E24" s="39"/>
      <c r="F24" s="40" t="s">
        <v>393</v>
      </c>
      <c r="G24" s="37">
        <v>23</v>
      </c>
      <c r="H24" s="64" t="s">
        <v>979</v>
      </c>
      <c r="I24" s="41" t="s">
        <v>1453</v>
      </c>
      <c r="J24" s="37">
        <v>23</v>
      </c>
    </row>
    <row r="25" spans="1:10" s="41" customFormat="1" ht="22.5" customHeight="1">
      <c r="A25" s="37">
        <v>24</v>
      </c>
      <c r="B25" s="38" t="s">
        <v>31</v>
      </c>
      <c r="C25" s="38" t="s">
        <v>17</v>
      </c>
      <c r="D25" s="38" t="s">
        <v>639</v>
      </c>
      <c r="E25" s="39"/>
      <c r="F25" s="40" t="s">
        <v>640</v>
      </c>
      <c r="G25" s="37">
        <v>24</v>
      </c>
      <c r="H25" s="64" t="s">
        <v>1001</v>
      </c>
      <c r="I25" s="41" t="s">
        <v>1181</v>
      </c>
      <c r="J25" s="37">
        <v>24</v>
      </c>
    </row>
    <row r="26" spans="1:10" s="41" customFormat="1" ht="22.5" customHeight="1">
      <c r="A26" s="37">
        <v>25</v>
      </c>
      <c r="B26" s="38" t="s">
        <v>31</v>
      </c>
      <c r="C26" s="38" t="s">
        <v>180</v>
      </c>
      <c r="D26" s="38" t="s">
        <v>181</v>
      </c>
      <c r="E26" s="39"/>
      <c r="F26" s="40" t="s">
        <v>394</v>
      </c>
      <c r="G26" s="37">
        <v>25</v>
      </c>
      <c r="H26" s="64" t="s">
        <v>588</v>
      </c>
      <c r="I26" s="41" t="s">
        <v>1182</v>
      </c>
      <c r="J26" s="37">
        <v>25</v>
      </c>
    </row>
    <row r="27" spans="1:10" s="41" customFormat="1" ht="22.5" customHeight="1">
      <c r="A27" s="37">
        <v>26</v>
      </c>
      <c r="B27" s="38" t="s">
        <v>31</v>
      </c>
      <c r="C27" s="38" t="s">
        <v>641</v>
      </c>
      <c r="D27" s="38" t="s">
        <v>642</v>
      </c>
      <c r="E27" s="39"/>
      <c r="F27" s="40" t="s">
        <v>643</v>
      </c>
      <c r="G27" s="37">
        <v>26</v>
      </c>
      <c r="H27" s="64" t="s">
        <v>985</v>
      </c>
      <c r="I27" s="41" t="s">
        <v>1183</v>
      </c>
      <c r="J27" s="37">
        <v>26</v>
      </c>
    </row>
    <row r="28" spans="1:10" s="41" customFormat="1" ht="22.5" customHeight="1">
      <c r="A28" s="37">
        <v>27</v>
      </c>
      <c r="B28" s="38" t="s">
        <v>31</v>
      </c>
      <c r="C28" s="38" t="s">
        <v>39</v>
      </c>
      <c r="D28" s="38" t="s">
        <v>60</v>
      </c>
      <c r="E28" s="39"/>
      <c r="F28" s="40" t="s">
        <v>395</v>
      </c>
      <c r="G28" s="37">
        <v>27</v>
      </c>
      <c r="H28" s="64" t="s">
        <v>587</v>
      </c>
      <c r="I28" s="41" t="s">
        <v>1454</v>
      </c>
      <c r="J28" s="37">
        <v>27</v>
      </c>
    </row>
    <row r="29" spans="1:10" s="41" customFormat="1" ht="22.5" customHeight="1">
      <c r="A29" s="37">
        <v>28</v>
      </c>
      <c r="B29" s="38" t="s">
        <v>31</v>
      </c>
      <c r="C29" s="38" t="s">
        <v>217</v>
      </c>
      <c r="D29" s="38" t="s">
        <v>341</v>
      </c>
      <c r="E29" s="39"/>
      <c r="F29" s="40" t="s">
        <v>644</v>
      </c>
      <c r="G29" s="37">
        <v>28</v>
      </c>
      <c r="H29" s="64" t="s">
        <v>602</v>
      </c>
      <c r="I29" s="41" t="s">
        <v>1455</v>
      </c>
      <c r="J29" s="37">
        <v>28</v>
      </c>
    </row>
    <row r="30" spans="1:10" s="41" customFormat="1" ht="22.5" customHeight="1">
      <c r="A30" s="37">
        <v>29</v>
      </c>
      <c r="B30" s="38" t="s">
        <v>31</v>
      </c>
      <c r="C30" s="38" t="s">
        <v>218</v>
      </c>
      <c r="D30" s="38" t="s">
        <v>252</v>
      </c>
      <c r="E30" s="39"/>
      <c r="F30" s="40" t="s">
        <v>396</v>
      </c>
      <c r="G30" s="37">
        <v>29</v>
      </c>
      <c r="H30" s="64" t="s">
        <v>1359</v>
      </c>
      <c r="I30" s="41" t="s">
        <v>1456</v>
      </c>
      <c r="J30" s="37">
        <v>29</v>
      </c>
    </row>
    <row r="31" spans="1:10" s="41" customFormat="1" ht="22.5" customHeight="1">
      <c r="A31" s="37">
        <v>30</v>
      </c>
      <c r="B31" s="38" t="s">
        <v>31</v>
      </c>
      <c r="C31" s="38" t="s">
        <v>645</v>
      </c>
      <c r="D31" s="38" t="s">
        <v>99</v>
      </c>
      <c r="E31" s="39"/>
      <c r="F31" s="40" t="s">
        <v>646</v>
      </c>
      <c r="G31" s="37">
        <v>30</v>
      </c>
      <c r="H31" s="64" t="s">
        <v>971</v>
      </c>
      <c r="I31" s="41" t="s">
        <v>1184</v>
      </c>
      <c r="J31" s="37">
        <v>30</v>
      </c>
    </row>
    <row r="32" spans="1:10" s="41" customFormat="1" ht="22.5" customHeight="1">
      <c r="A32" s="37">
        <v>31</v>
      </c>
      <c r="B32" s="38" t="s">
        <v>31</v>
      </c>
      <c r="C32" s="38" t="s">
        <v>126</v>
      </c>
      <c r="D32" s="38" t="s">
        <v>647</v>
      </c>
      <c r="E32" s="39"/>
      <c r="F32" s="40" t="s">
        <v>648</v>
      </c>
      <c r="G32" s="37">
        <v>31</v>
      </c>
      <c r="H32" s="64" t="s">
        <v>587</v>
      </c>
      <c r="I32" s="41" t="s">
        <v>1185</v>
      </c>
      <c r="J32" s="37">
        <v>31</v>
      </c>
    </row>
    <row r="33" spans="1:10" s="41" customFormat="1" ht="22.5" customHeight="1">
      <c r="A33" s="37">
        <v>32</v>
      </c>
      <c r="B33" s="38" t="s">
        <v>37</v>
      </c>
      <c r="C33" s="38" t="s">
        <v>15</v>
      </c>
      <c r="D33" s="38" t="s">
        <v>90</v>
      </c>
      <c r="E33" s="39"/>
      <c r="F33" s="40" t="s">
        <v>397</v>
      </c>
      <c r="G33" s="37">
        <v>32</v>
      </c>
      <c r="H33" s="64" t="s">
        <v>592</v>
      </c>
      <c r="I33" s="41" t="s">
        <v>1186</v>
      </c>
      <c r="J33" s="37">
        <v>32</v>
      </c>
    </row>
    <row r="34" spans="1:10" s="41" customFormat="1" ht="22.5" customHeight="1">
      <c r="A34" s="37">
        <v>33</v>
      </c>
      <c r="B34" s="38" t="s">
        <v>37</v>
      </c>
      <c r="C34" s="38" t="s">
        <v>12</v>
      </c>
      <c r="D34" s="38" t="s">
        <v>649</v>
      </c>
      <c r="E34" s="39"/>
      <c r="F34" s="40" t="s">
        <v>650</v>
      </c>
      <c r="G34" s="37">
        <v>33</v>
      </c>
      <c r="H34" s="64" t="s">
        <v>981</v>
      </c>
      <c r="I34" s="41" t="s">
        <v>1187</v>
      </c>
      <c r="J34" s="37">
        <v>33</v>
      </c>
    </row>
    <row r="35" spans="1:10" s="41" customFormat="1" ht="22.5" customHeight="1">
      <c r="A35" s="37">
        <v>34</v>
      </c>
      <c r="B35" s="38" t="s">
        <v>37</v>
      </c>
      <c r="C35" s="38" t="s">
        <v>12</v>
      </c>
      <c r="D35" s="38" t="s">
        <v>253</v>
      </c>
      <c r="E35" s="39"/>
      <c r="F35" s="40" t="s">
        <v>398</v>
      </c>
      <c r="G35" s="37">
        <v>34</v>
      </c>
      <c r="H35" s="64" t="s">
        <v>587</v>
      </c>
      <c r="I35" s="41" t="s">
        <v>1457</v>
      </c>
      <c r="J35" s="37">
        <v>34</v>
      </c>
    </row>
    <row r="36" spans="1:10" s="41" customFormat="1" ht="22.5" customHeight="1">
      <c r="A36" s="37">
        <v>35</v>
      </c>
      <c r="B36" s="38" t="s">
        <v>37</v>
      </c>
      <c r="C36" s="38" t="s">
        <v>254</v>
      </c>
      <c r="D36" s="38" t="s">
        <v>100</v>
      </c>
      <c r="E36" s="39"/>
      <c r="F36" s="40" t="s">
        <v>399</v>
      </c>
      <c r="G36" s="37">
        <v>35</v>
      </c>
      <c r="H36" s="64" t="s">
        <v>587</v>
      </c>
      <c r="I36" s="41" t="s">
        <v>1188</v>
      </c>
      <c r="J36" s="37">
        <v>35</v>
      </c>
    </row>
    <row r="37" spans="1:10" s="41" customFormat="1" ht="22.5" customHeight="1">
      <c r="A37" s="37">
        <v>36</v>
      </c>
      <c r="B37" s="38" t="s">
        <v>37</v>
      </c>
      <c r="C37" s="38" t="s">
        <v>166</v>
      </c>
      <c r="D37" s="38" t="s">
        <v>255</v>
      </c>
      <c r="E37" s="39"/>
      <c r="F37" s="40" t="s">
        <v>400</v>
      </c>
      <c r="G37" s="37">
        <v>36</v>
      </c>
      <c r="H37" s="64" t="s">
        <v>593</v>
      </c>
      <c r="I37" s="41" t="s">
        <v>1189</v>
      </c>
      <c r="J37" s="37">
        <v>36</v>
      </c>
    </row>
    <row r="38" spans="1:10" s="41" customFormat="1" ht="22.5" customHeight="1">
      <c r="A38" s="37">
        <v>37</v>
      </c>
      <c r="B38" s="38" t="s">
        <v>41</v>
      </c>
      <c r="C38" s="38" t="s">
        <v>32</v>
      </c>
      <c r="D38" s="38" t="s">
        <v>99</v>
      </c>
      <c r="E38" s="39"/>
      <c r="F38" s="40" t="s">
        <v>401</v>
      </c>
      <c r="G38" s="37">
        <v>37</v>
      </c>
      <c r="H38" s="64" t="s">
        <v>1360</v>
      </c>
      <c r="I38" s="41" t="s">
        <v>1458</v>
      </c>
      <c r="J38" s="37">
        <v>37</v>
      </c>
    </row>
    <row r="39" spans="1:10" s="41" customFormat="1" ht="22.5" customHeight="1">
      <c r="A39" s="37">
        <v>38</v>
      </c>
      <c r="B39" s="38" t="s">
        <v>42</v>
      </c>
      <c r="C39" s="38" t="s">
        <v>367</v>
      </c>
      <c r="D39" s="38" t="s">
        <v>651</v>
      </c>
      <c r="E39" s="39"/>
      <c r="F39" s="40" t="s">
        <v>652</v>
      </c>
      <c r="G39" s="37">
        <v>38</v>
      </c>
      <c r="H39" s="64" t="s">
        <v>587</v>
      </c>
      <c r="I39" s="41" t="s">
        <v>1190</v>
      </c>
      <c r="J39" s="37">
        <v>38</v>
      </c>
    </row>
    <row r="40" spans="1:10" s="41" customFormat="1" ht="22.5" customHeight="1">
      <c r="A40" s="37">
        <v>39</v>
      </c>
      <c r="B40" s="38" t="s">
        <v>15</v>
      </c>
      <c r="C40" s="38" t="s">
        <v>653</v>
      </c>
      <c r="D40" s="38" t="s">
        <v>654</v>
      </c>
      <c r="E40" s="39"/>
      <c r="F40" s="40" t="s">
        <v>655</v>
      </c>
      <c r="G40" s="37">
        <v>39</v>
      </c>
      <c r="H40" s="64" t="s">
        <v>1031</v>
      </c>
      <c r="I40" s="41" t="s">
        <v>1191</v>
      </c>
      <c r="J40" s="37">
        <v>39</v>
      </c>
    </row>
    <row r="41" spans="1:10" s="41" customFormat="1" ht="22.5" customHeight="1">
      <c r="A41" s="37">
        <v>40</v>
      </c>
      <c r="B41" s="38" t="s">
        <v>15</v>
      </c>
      <c r="C41" s="38" t="s">
        <v>656</v>
      </c>
      <c r="D41" s="38" t="s">
        <v>657</v>
      </c>
      <c r="E41" s="39"/>
      <c r="F41" s="40" t="s">
        <v>658</v>
      </c>
      <c r="G41" s="37">
        <v>40</v>
      </c>
      <c r="H41" s="64" t="s">
        <v>974</v>
      </c>
      <c r="I41" s="41" t="s">
        <v>1192</v>
      </c>
      <c r="J41" s="37">
        <v>40</v>
      </c>
    </row>
    <row r="42" spans="1:10" s="41" customFormat="1" ht="22.5" customHeight="1">
      <c r="A42" s="37">
        <v>41</v>
      </c>
      <c r="B42" s="38" t="s">
        <v>15</v>
      </c>
      <c r="C42" s="38" t="s">
        <v>256</v>
      </c>
      <c r="D42" s="38" t="s">
        <v>100</v>
      </c>
      <c r="E42" s="39"/>
      <c r="F42" s="40" t="s">
        <v>402</v>
      </c>
      <c r="G42" s="37">
        <v>41</v>
      </c>
      <c r="H42" s="64" t="s">
        <v>1361</v>
      </c>
      <c r="I42" s="41" t="s">
        <v>1193</v>
      </c>
      <c r="J42" s="37">
        <v>41</v>
      </c>
    </row>
    <row r="43" spans="1:10" s="41" customFormat="1" ht="22.5" customHeight="1">
      <c r="A43" s="37">
        <v>42</v>
      </c>
      <c r="B43" s="38" t="s">
        <v>15</v>
      </c>
      <c r="C43" s="38" t="s">
        <v>230</v>
      </c>
      <c r="D43" s="38" t="s">
        <v>61</v>
      </c>
      <c r="E43" s="39"/>
      <c r="F43" s="40" t="s">
        <v>659</v>
      </c>
      <c r="G43" s="37">
        <v>42</v>
      </c>
      <c r="H43" s="64" t="s">
        <v>600</v>
      </c>
      <c r="I43" s="41" t="s">
        <v>1194</v>
      </c>
      <c r="J43" s="37">
        <v>42</v>
      </c>
    </row>
    <row r="44" spans="1:10" s="41" customFormat="1" ht="22.5" customHeight="1">
      <c r="A44" s="37">
        <v>43</v>
      </c>
      <c r="B44" s="38" t="s">
        <v>44</v>
      </c>
      <c r="C44" s="38" t="s">
        <v>24</v>
      </c>
      <c r="D44" s="38" t="s">
        <v>660</v>
      </c>
      <c r="E44" s="39"/>
      <c r="F44" s="40" t="s">
        <v>661</v>
      </c>
      <c r="G44" s="37">
        <v>43</v>
      </c>
      <c r="H44" s="64" t="s">
        <v>587</v>
      </c>
      <c r="I44" s="41" t="s">
        <v>1195</v>
      </c>
      <c r="J44" s="37">
        <v>43</v>
      </c>
    </row>
    <row r="45" spans="1:10" s="41" customFormat="1" ht="22.5" customHeight="1">
      <c r="A45" s="37">
        <v>44</v>
      </c>
      <c r="B45" s="38" t="s">
        <v>44</v>
      </c>
      <c r="C45" s="38" t="s">
        <v>662</v>
      </c>
      <c r="D45" s="38" t="s">
        <v>100</v>
      </c>
      <c r="E45" s="39"/>
      <c r="F45" s="40" t="s">
        <v>663</v>
      </c>
      <c r="G45" s="37">
        <v>44</v>
      </c>
      <c r="H45" s="64" t="s">
        <v>982</v>
      </c>
      <c r="I45" s="41" t="s">
        <v>1196</v>
      </c>
      <c r="J45" s="37">
        <v>44</v>
      </c>
    </row>
    <row r="46" spans="1:10" s="41" customFormat="1" ht="22.5" customHeight="1">
      <c r="A46" s="37">
        <v>45</v>
      </c>
      <c r="B46" s="38" t="s">
        <v>44</v>
      </c>
      <c r="C46" s="38" t="s">
        <v>12</v>
      </c>
      <c r="D46" s="38" t="s">
        <v>664</v>
      </c>
      <c r="E46" s="39"/>
      <c r="F46" s="40" t="s">
        <v>665</v>
      </c>
      <c r="G46" s="37">
        <v>45</v>
      </c>
      <c r="H46" s="64" t="s">
        <v>587</v>
      </c>
      <c r="I46" s="41" t="s">
        <v>1197</v>
      </c>
      <c r="J46" s="37">
        <v>45</v>
      </c>
    </row>
    <row r="47" spans="1:10" s="41" customFormat="1" ht="22.5" customHeight="1">
      <c r="A47" s="37">
        <v>46</v>
      </c>
      <c r="B47" s="38" t="s">
        <v>44</v>
      </c>
      <c r="C47" s="38" t="s">
        <v>666</v>
      </c>
      <c r="D47" s="38" t="s">
        <v>667</v>
      </c>
      <c r="E47" s="39"/>
      <c r="F47" s="40" t="s">
        <v>668</v>
      </c>
      <c r="G47" s="37">
        <v>46</v>
      </c>
      <c r="H47" s="64" t="s">
        <v>596</v>
      </c>
      <c r="I47" s="41" t="s">
        <v>1198</v>
      </c>
      <c r="J47" s="37">
        <v>46</v>
      </c>
    </row>
    <row r="48" spans="1:10" s="41" customFormat="1" ht="22.5" customHeight="1">
      <c r="A48" s="37">
        <v>47</v>
      </c>
      <c r="B48" s="38" t="s">
        <v>44</v>
      </c>
      <c r="C48" s="38" t="s">
        <v>669</v>
      </c>
      <c r="D48" s="38" t="s">
        <v>670</v>
      </c>
      <c r="E48" s="39"/>
      <c r="F48" s="40" t="s">
        <v>671</v>
      </c>
      <c r="G48" s="37">
        <v>47</v>
      </c>
      <c r="H48" s="64" t="s">
        <v>587</v>
      </c>
      <c r="I48" s="41" t="s">
        <v>1199</v>
      </c>
      <c r="J48" s="37">
        <v>47</v>
      </c>
    </row>
    <row r="49" spans="1:10" s="41" customFormat="1" ht="22.5" customHeight="1">
      <c r="A49" s="37">
        <v>48</v>
      </c>
      <c r="B49" s="38" t="s">
        <v>47</v>
      </c>
      <c r="C49" s="38" t="s">
        <v>48</v>
      </c>
      <c r="D49" s="38" t="s">
        <v>49</v>
      </c>
      <c r="E49" s="39"/>
      <c r="F49" s="40" t="s">
        <v>403</v>
      </c>
      <c r="G49" s="37">
        <v>48</v>
      </c>
      <c r="H49" s="64" t="s">
        <v>587</v>
      </c>
      <c r="I49" s="41" t="s">
        <v>1459</v>
      </c>
      <c r="J49" s="37">
        <v>48</v>
      </c>
    </row>
    <row r="50" spans="1:10" s="41" customFormat="1" ht="22.5" customHeight="1">
      <c r="A50" s="37">
        <v>49</v>
      </c>
      <c r="B50" s="38" t="s">
        <v>50</v>
      </c>
      <c r="C50" s="38" t="s">
        <v>184</v>
      </c>
      <c r="D50" s="38" t="s">
        <v>672</v>
      </c>
      <c r="E50" s="39"/>
      <c r="F50" s="40" t="s">
        <v>673</v>
      </c>
      <c r="G50" s="37">
        <v>49</v>
      </c>
      <c r="H50" s="64" t="s">
        <v>605</v>
      </c>
      <c r="I50" s="41" t="s">
        <v>1200</v>
      </c>
      <c r="J50" s="37">
        <v>49</v>
      </c>
    </row>
    <row r="51" spans="1:10" s="41" customFormat="1" ht="22.5" customHeight="1">
      <c r="A51" s="37">
        <v>50</v>
      </c>
      <c r="B51" s="38" t="s">
        <v>52</v>
      </c>
      <c r="C51" s="38" t="s">
        <v>674</v>
      </c>
      <c r="D51" s="38" t="s">
        <v>675</v>
      </c>
      <c r="E51" s="39"/>
      <c r="F51" s="40" t="s">
        <v>676</v>
      </c>
      <c r="G51" s="37">
        <v>50</v>
      </c>
      <c r="H51" s="64" t="s">
        <v>1027</v>
      </c>
      <c r="I51" s="41" t="s">
        <v>1460</v>
      </c>
      <c r="J51" s="37">
        <v>50</v>
      </c>
    </row>
    <row r="52" spans="1:10" s="41" customFormat="1" ht="22.5" customHeight="1">
      <c r="A52" s="37">
        <v>51</v>
      </c>
      <c r="B52" s="38" t="s">
        <v>53</v>
      </c>
      <c r="C52" s="38" t="s">
        <v>677</v>
      </c>
      <c r="D52" s="38" t="s">
        <v>359</v>
      </c>
      <c r="E52" s="39"/>
      <c r="F52" s="40" t="s">
        <v>678</v>
      </c>
      <c r="G52" s="37">
        <v>51</v>
      </c>
      <c r="H52" s="64" t="s">
        <v>983</v>
      </c>
      <c r="I52" s="41" t="s">
        <v>1201</v>
      </c>
      <c r="J52" s="37">
        <v>51</v>
      </c>
    </row>
    <row r="53" spans="1:10" s="41" customFormat="1" ht="22.5" customHeight="1">
      <c r="A53" s="37">
        <v>52</v>
      </c>
      <c r="B53" s="38" t="s">
        <v>54</v>
      </c>
      <c r="C53" s="38" t="s">
        <v>679</v>
      </c>
      <c r="D53" s="38" t="s">
        <v>680</v>
      </c>
      <c r="E53" s="39"/>
      <c r="F53" s="40" t="s">
        <v>681</v>
      </c>
      <c r="G53" s="37">
        <v>52</v>
      </c>
      <c r="H53" s="64" t="s">
        <v>600</v>
      </c>
      <c r="I53" s="41" t="s">
        <v>1461</v>
      </c>
      <c r="J53" s="37">
        <v>52</v>
      </c>
    </row>
    <row r="54" spans="1:10" s="41" customFormat="1" ht="22.5" customHeight="1">
      <c r="A54" s="37">
        <v>53</v>
      </c>
      <c r="B54" s="38" t="s">
        <v>54</v>
      </c>
      <c r="C54" s="38" t="s">
        <v>56</v>
      </c>
      <c r="D54" s="38" t="s">
        <v>57</v>
      </c>
      <c r="E54" s="39"/>
      <c r="F54" s="40" t="s">
        <v>404</v>
      </c>
      <c r="G54" s="37">
        <v>53</v>
      </c>
      <c r="H54" s="64" t="s">
        <v>1362</v>
      </c>
      <c r="I54" s="41" t="s">
        <v>1462</v>
      </c>
      <c r="J54" s="37">
        <v>53</v>
      </c>
    </row>
    <row r="55" spans="1:10" s="41" customFormat="1" ht="22.5" customHeight="1">
      <c r="A55" s="37">
        <v>54</v>
      </c>
      <c r="B55" s="38" t="s">
        <v>58</v>
      </c>
      <c r="C55" s="38" t="s">
        <v>682</v>
      </c>
      <c r="D55" s="38" t="s">
        <v>683</v>
      </c>
      <c r="E55" s="39"/>
      <c r="F55" s="40" t="s">
        <v>684</v>
      </c>
      <c r="G55" s="37">
        <v>54</v>
      </c>
      <c r="H55" s="64" t="s">
        <v>600</v>
      </c>
      <c r="I55" s="41" t="s">
        <v>1463</v>
      </c>
      <c r="J55" s="37">
        <v>54</v>
      </c>
    </row>
    <row r="56" spans="1:10" s="41" customFormat="1" ht="22.5" customHeight="1">
      <c r="A56" s="37">
        <v>55</v>
      </c>
      <c r="B56" s="38" t="s">
        <v>58</v>
      </c>
      <c r="C56" s="38" t="s">
        <v>685</v>
      </c>
      <c r="D56" s="38" t="s">
        <v>282</v>
      </c>
      <c r="E56" s="39"/>
      <c r="F56" s="40" t="s">
        <v>686</v>
      </c>
      <c r="G56" s="37">
        <v>55</v>
      </c>
      <c r="H56" s="64" t="s">
        <v>1017</v>
      </c>
      <c r="I56" s="41" t="s">
        <v>1202</v>
      </c>
      <c r="J56" s="37">
        <v>55</v>
      </c>
    </row>
    <row r="57" spans="1:10" s="41" customFormat="1" ht="22.5" customHeight="1">
      <c r="A57" s="37">
        <v>56</v>
      </c>
      <c r="B57" s="38" t="s">
        <v>59</v>
      </c>
      <c r="C57" s="38" t="s">
        <v>15</v>
      </c>
      <c r="D57" s="38" t="s">
        <v>687</v>
      </c>
      <c r="E57" s="39"/>
      <c r="F57" s="40" t="s">
        <v>688</v>
      </c>
      <c r="G57" s="37">
        <v>56</v>
      </c>
      <c r="H57" s="64" t="s">
        <v>587</v>
      </c>
      <c r="I57" s="41" t="s">
        <v>1203</v>
      </c>
      <c r="J57" s="37">
        <v>56</v>
      </c>
    </row>
    <row r="58" spans="1:10" s="41" customFormat="1" ht="22.5" customHeight="1">
      <c r="A58" s="37">
        <v>57</v>
      </c>
      <c r="B58" s="38" t="s">
        <v>59</v>
      </c>
      <c r="C58" s="38" t="s">
        <v>187</v>
      </c>
      <c r="D58" s="38" t="s">
        <v>188</v>
      </c>
      <c r="E58" s="39"/>
      <c r="F58" s="40" t="s">
        <v>406</v>
      </c>
      <c r="G58" s="37">
        <v>57</v>
      </c>
      <c r="H58" s="64" t="s">
        <v>587</v>
      </c>
      <c r="I58" s="41" t="s">
        <v>1464</v>
      </c>
      <c r="J58" s="37">
        <v>57</v>
      </c>
    </row>
    <row r="59" spans="1:10" s="41" customFormat="1" ht="22.5" customHeight="1">
      <c r="A59" s="37">
        <v>58</v>
      </c>
      <c r="B59" s="38" t="s">
        <v>62</v>
      </c>
      <c r="C59" s="38" t="s">
        <v>63</v>
      </c>
      <c r="D59" s="38" t="s">
        <v>64</v>
      </c>
      <c r="E59" s="39"/>
      <c r="F59" s="40" t="s">
        <v>407</v>
      </c>
      <c r="G59" s="37">
        <v>58</v>
      </c>
      <c r="H59" s="64" t="s">
        <v>597</v>
      </c>
      <c r="I59" s="41" t="s">
        <v>1204</v>
      </c>
      <c r="J59" s="37">
        <v>58</v>
      </c>
    </row>
    <row r="60" spans="1:10" s="41" customFormat="1" ht="22.5" customHeight="1">
      <c r="A60" s="37">
        <v>59</v>
      </c>
      <c r="B60" s="38" t="s">
        <v>62</v>
      </c>
      <c r="C60" s="38" t="s">
        <v>689</v>
      </c>
      <c r="D60" s="38" t="s">
        <v>356</v>
      </c>
      <c r="E60" s="39"/>
      <c r="F60" s="40" t="s">
        <v>690</v>
      </c>
      <c r="G60" s="37">
        <v>59</v>
      </c>
      <c r="H60" s="64" t="s">
        <v>1032</v>
      </c>
      <c r="I60" s="41" t="s">
        <v>1205</v>
      </c>
      <c r="J60" s="37">
        <v>59</v>
      </c>
    </row>
    <row r="61" spans="1:10" s="41" customFormat="1" ht="22.5" customHeight="1">
      <c r="A61" s="37">
        <v>60</v>
      </c>
      <c r="B61" s="38" t="s">
        <v>65</v>
      </c>
      <c r="C61" s="38" t="s">
        <v>257</v>
      </c>
      <c r="D61" s="38" t="s">
        <v>258</v>
      </c>
      <c r="E61" s="39"/>
      <c r="F61" s="40" t="s">
        <v>408</v>
      </c>
      <c r="G61" s="37">
        <v>60</v>
      </c>
      <c r="H61" s="64" t="s">
        <v>1363</v>
      </c>
      <c r="I61" s="41" t="s">
        <v>1465</v>
      </c>
      <c r="J61" s="37">
        <v>60</v>
      </c>
    </row>
    <row r="62" spans="1:10" s="41" customFormat="1" ht="22.5" customHeight="1">
      <c r="A62" s="37">
        <v>61</v>
      </c>
      <c r="B62" s="38" t="s">
        <v>65</v>
      </c>
      <c r="C62" s="38" t="s">
        <v>15</v>
      </c>
      <c r="D62" s="38" t="s">
        <v>259</v>
      </c>
      <c r="E62" s="39"/>
      <c r="F62" s="40" t="s">
        <v>409</v>
      </c>
      <c r="G62" s="37">
        <v>61</v>
      </c>
      <c r="H62" s="64" t="s">
        <v>601</v>
      </c>
      <c r="I62" s="41" t="s">
        <v>1206</v>
      </c>
      <c r="J62" s="37">
        <v>61</v>
      </c>
    </row>
    <row r="63" spans="1:10" s="41" customFormat="1" ht="22.5" customHeight="1">
      <c r="A63" s="37">
        <v>62</v>
      </c>
      <c r="B63" s="38" t="s">
        <v>65</v>
      </c>
      <c r="C63" s="38" t="s">
        <v>38</v>
      </c>
      <c r="D63" s="38" t="s">
        <v>189</v>
      </c>
      <c r="E63" s="39"/>
      <c r="F63" s="40" t="s">
        <v>410</v>
      </c>
      <c r="G63" s="37">
        <v>62</v>
      </c>
      <c r="H63" s="64" t="s">
        <v>587</v>
      </c>
      <c r="I63" s="41" t="s">
        <v>1466</v>
      </c>
      <c r="J63" s="37">
        <v>62</v>
      </c>
    </row>
    <row r="64" spans="1:10" s="41" customFormat="1" ht="22.5" customHeight="1">
      <c r="A64" s="37">
        <v>63</v>
      </c>
      <c r="B64" s="38" t="s">
        <v>65</v>
      </c>
      <c r="C64" s="38" t="s">
        <v>691</v>
      </c>
      <c r="D64" s="38" t="s">
        <v>100</v>
      </c>
      <c r="E64" s="39"/>
      <c r="F64" s="40" t="s">
        <v>692</v>
      </c>
      <c r="G64" s="37">
        <v>63</v>
      </c>
      <c r="H64" s="64" t="s">
        <v>598</v>
      </c>
      <c r="I64" s="41" t="s">
        <v>1207</v>
      </c>
      <c r="J64" s="37">
        <v>63</v>
      </c>
    </row>
    <row r="65" spans="1:10" s="41" customFormat="1" ht="22.5" customHeight="1">
      <c r="A65" s="37">
        <v>64</v>
      </c>
      <c r="B65" s="38" t="s">
        <v>65</v>
      </c>
      <c r="C65" s="38" t="s">
        <v>134</v>
      </c>
      <c r="D65" s="38" t="s">
        <v>693</v>
      </c>
      <c r="E65" s="39"/>
      <c r="F65" s="40" t="s">
        <v>694</v>
      </c>
      <c r="G65" s="37">
        <v>64</v>
      </c>
      <c r="H65" s="64" t="s">
        <v>600</v>
      </c>
      <c r="I65" s="41" t="s">
        <v>1208</v>
      </c>
      <c r="J65" s="37">
        <v>64</v>
      </c>
    </row>
    <row r="66" spans="1:10" s="41" customFormat="1" ht="22.5" customHeight="1">
      <c r="A66" s="37">
        <v>65</v>
      </c>
      <c r="B66" s="38" t="s">
        <v>65</v>
      </c>
      <c r="C66" s="38" t="s">
        <v>155</v>
      </c>
      <c r="D66" s="38" t="s">
        <v>16</v>
      </c>
      <c r="E66" s="39"/>
      <c r="F66" s="40" t="s">
        <v>695</v>
      </c>
      <c r="G66" s="37">
        <v>65</v>
      </c>
      <c r="H66" s="64" t="s">
        <v>1364</v>
      </c>
      <c r="I66" s="41" t="s">
        <v>1467</v>
      </c>
      <c r="J66" s="37">
        <v>65</v>
      </c>
    </row>
    <row r="67" spans="1:10" s="41" customFormat="1" ht="22.5" customHeight="1">
      <c r="A67" s="37">
        <v>66</v>
      </c>
      <c r="B67" s="38" t="s">
        <v>65</v>
      </c>
      <c r="C67" s="38" t="s">
        <v>260</v>
      </c>
      <c r="D67" s="38" t="s">
        <v>76</v>
      </c>
      <c r="E67" s="39"/>
      <c r="F67" s="40" t="s">
        <v>411</v>
      </c>
      <c r="G67" s="37">
        <v>66</v>
      </c>
      <c r="H67" s="64" t="s">
        <v>587</v>
      </c>
      <c r="I67" s="41" t="s">
        <v>1209</v>
      </c>
      <c r="J67" s="37">
        <v>66</v>
      </c>
    </row>
    <row r="68" spans="1:10" s="41" customFormat="1" ht="22.5" customHeight="1">
      <c r="A68" s="37">
        <v>67</v>
      </c>
      <c r="B68" s="38" t="s">
        <v>65</v>
      </c>
      <c r="C68" s="38" t="s">
        <v>696</v>
      </c>
      <c r="D68" s="38" t="s">
        <v>697</v>
      </c>
      <c r="E68" s="39"/>
      <c r="F68" s="40" t="s">
        <v>698</v>
      </c>
      <c r="G68" s="37">
        <v>67</v>
      </c>
      <c r="H68" s="64" t="s">
        <v>986</v>
      </c>
      <c r="I68" s="41" t="s">
        <v>1210</v>
      </c>
      <c r="J68" s="37">
        <v>67</v>
      </c>
    </row>
    <row r="69" spans="1:10" s="41" customFormat="1" ht="22.5" customHeight="1">
      <c r="A69" s="37">
        <v>68</v>
      </c>
      <c r="B69" s="38" t="s">
        <v>65</v>
      </c>
      <c r="C69" s="38" t="s">
        <v>699</v>
      </c>
      <c r="D69" s="38" t="s">
        <v>700</v>
      </c>
      <c r="E69" s="39"/>
      <c r="F69" s="40" t="s">
        <v>701</v>
      </c>
      <c r="G69" s="37">
        <v>68</v>
      </c>
      <c r="H69" s="64" t="s">
        <v>1007</v>
      </c>
      <c r="I69" s="41" t="s">
        <v>1211</v>
      </c>
      <c r="J69" s="37">
        <v>68</v>
      </c>
    </row>
    <row r="70" spans="1:10" s="41" customFormat="1" ht="22.5" customHeight="1">
      <c r="A70" s="37">
        <v>69</v>
      </c>
      <c r="B70" s="38" t="s">
        <v>65</v>
      </c>
      <c r="C70" s="38" t="s">
        <v>261</v>
      </c>
      <c r="D70" s="38" t="s">
        <v>262</v>
      </c>
      <c r="E70" s="39"/>
      <c r="F70" s="40" t="s">
        <v>412</v>
      </c>
      <c r="G70" s="37">
        <v>69</v>
      </c>
      <c r="H70" s="64" t="s">
        <v>587</v>
      </c>
      <c r="I70" s="41" t="s">
        <v>1212</v>
      </c>
      <c r="J70" s="37">
        <v>69</v>
      </c>
    </row>
    <row r="71" spans="1:10" s="41" customFormat="1" ht="22.5" customHeight="1">
      <c r="A71" s="37">
        <v>70</v>
      </c>
      <c r="B71" s="38" t="s">
        <v>65</v>
      </c>
      <c r="C71" s="38" t="s">
        <v>702</v>
      </c>
      <c r="D71" s="38" t="s">
        <v>703</v>
      </c>
      <c r="E71" s="39"/>
      <c r="F71" s="40" t="s">
        <v>704</v>
      </c>
      <c r="G71" s="37">
        <v>70</v>
      </c>
      <c r="H71" s="64" t="s">
        <v>587</v>
      </c>
      <c r="I71" s="41" t="s">
        <v>1213</v>
      </c>
      <c r="J71" s="37">
        <v>70</v>
      </c>
    </row>
    <row r="72" spans="1:10" s="41" customFormat="1" ht="22.5" customHeight="1">
      <c r="A72" s="37">
        <v>71</v>
      </c>
      <c r="B72" s="38" t="s">
        <v>66</v>
      </c>
      <c r="C72" s="38" t="s">
        <v>705</v>
      </c>
      <c r="D72" s="38" t="s">
        <v>251</v>
      </c>
      <c r="E72" s="39"/>
      <c r="F72" s="40" t="s">
        <v>706</v>
      </c>
      <c r="G72" s="37">
        <v>71</v>
      </c>
      <c r="H72" s="64" t="s">
        <v>1034</v>
      </c>
      <c r="I72" s="41" t="s">
        <v>1214</v>
      </c>
      <c r="J72" s="37">
        <v>71</v>
      </c>
    </row>
    <row r="73" spans="1:10" s="41" customFormat="1" ht="22.5" customHeight="1">
      <c r="A73" s="37">
        <v>72</v>
      </c>
      <c r="B73" s="38" t="s">
        <v>66</v>
      </c>
      <c r="C73" s="38" t="s">
        <v>217</v>
      </c>
      <c r="D73" s="38" t="s">
        <v>34</v>
      </c>
      <c r="E73" s="39"/>
      <c r="F73" s="40" t="s">
        <v>413</v>
      </c>
      <c r="G73" s="37">
        <v>72</v>
      </c>
      <c r="H73" s="64" t="s">
        <v>587</v>
      </c>
      <c r="I73" s="41" t="s">
        <v>1468</v>
      </c>
      <c r="J73" s="37">
        <v>72</v>
      </c>
    </row>
    <row r="74" spans="1:10" s="41" customFormat="1" ht="22.5" customHeight="1">
      <c r="A74" s="37">
        <v>73</v>
      </c>
      <c r="B74" s="38" t="s">
        <v>67</v>
      </c>
      <c r="C74" s="38" t="s">
        <v>263</v>
      </c>
      <c r="D74" s="38" t="s">
        <v>264</v>
      </c>
      <c r="E74" s="39"/>
      <c r="F74" s="40" t="s">
        <v>414</v>
      </c>
      <c r="G74" s="37">
        <v>73</v>
      </c>
      <c r="H74" s="64" t="s">
        <v>1365</v>
      </c>
      <c r="I74" s="41" t="s">
        <v>1469</v>
      </c>
      <c r="J74" s="37">
        <v>73</v>
      </c>
    </row>
    <row r="75" spans="1:10" s="41" customFormat="1" ht="22.5" customHeight="1">
      <c r="A75" s="37">
        <v>74</v>
      </c>
      <c r="B75" s="38" t="s">
        <v>67</v>
      </c>
      <c r="C75" s="38" t="s">
        <v>707</v>
      </c>
      <c r="D75" s="38" t="s">
        <v>191</v>
      </c>
      <c r="E75" s="39"/>
      <c r="F75" s="40" t="s">
        <v>708</v>
      </c>
      <c r="G75" s="37">
        <v>74</v>
      </c>
      <c r="H75" s="64" t="s">
        <v>974</v>
      </c>
      <c r="I75" s="41" t="s">
        <v>1215</v>
      </c>
      <c r="J75" s="37">
        <v>74</v>
      </c>
    </row>
    <row r="76" spans="1:10" s="41" customFormat="1" ht="22.5" customHeight="1">
      <c r="A76" s="37">
        <v>75</v>
      </c>
      <c r="B76" s="38" t="s">
        <v>69</v>
      </c>
      <c r="C76" s="38" t="s">
        <v>246</v>
      </c>
      <c r="D76" s="38" t="s">
        <v>265</v>
      </c>
      <c r="E76" s="39"/>
      <c r="F76" s="40" t="s">
        <v>415</v>
      </c>
      <c r="G76" s="37">
        <v>75</v>
      </c>
      <c r="H76" s="64" t="s">
        <v>974</v>
      </c>
      <c r="I76" s="41" t="s">
        <v>1470</v>
      </c>
      <c r="J76" s="37">
        <v>75</v>
      </c>
    </row>
    <row r="77" spans="1:10" s="41" customFormat="1" ht="22.5" customHeight="1">
      <c r="A77" s="37">
        <v>76</v>
      </c>
      <c r="B77" s="38" t="s">
        <v>69</v>
      </c>
      <c r="C77" s="38" t="s">
        <v>228</v>
      </c>
      <c r="D77" s="38" t="s">
        <v>210</v>
      </c>
      <c r="E77" s="39"/>
      <c r="F77" s="40" t="s">
        <v>709</v>
      </c>
      <c r="G77" s="37">
        <v>76</v>
      </c>
      <c r="H77" s="64" t="s">
        <v>1005</v>
      </c>
      <c r="I77" s="41" t="s">
        <v>1216</v>
      </c>
      <c r="J77" s="37">
        <v>76</v>
      </c>
    </row>
    <row r="78" spans="1:10" s="41" customFormat="1" ht="22.5" customHeight="1">
      <c r="A78" s="37">
        <v>77</v>
      </c>
      <c r="B78" s="38" t="s">
        <v>69</v>
      </c>
      <c r="C78" s="38" t="s">
        <v>25</v>
      </c>
      <c r="D78" s="38" t="s">
        <v>710</v>
      </c>
      <c r="E78" s="39"/>
      <c r="F78" s="40" t="s">
        <v>711</v>
      </c>
      <c r="G78" s="37">
        <v>77</v>
      </c>
      <c r="H78" s="64" t="s">
        <v>587</v>
      </c>
      <c r="I78" s="41" t="s">
        <v>1217</v>
      </c>
      <c r="J78" s="37">
        <v>77</v>
      </c>
    </row>
    <row r="79" spans="1:10" s="41" customFormat="1" ht="22.5" customHeight="1">
      <c r="A79" s="37">
        <v>78</v>
      </c>
      <c r="B79" s="38" t="s">
        <v>73</v>
      </c>
      <c r="C79" s="38" t="s">
        <v>712</v>
      </c>
      <c r="D79" s="38" t="s">
        <v>713</v>
      </c>
      <c r="E79" s="39"/>
      <c r="F79" s="40" t="s">
        <v>714</v>
      </c>
      <c r="G79" s="37">
        <v>78</v>
      </c>
      <c r="H79" s="64" t="s">
        <v>971</v>
      </c>
      <c r="I79" s="41" t="s">
        <v>1218</v>
      </c>
      <c r="J79" s="37">
        <v>78</v>
      </c>
    </row>
    <row r="80" spans="1:10" s="41" customFormat="1" ht="22.5" customHeight="1">
      <c r="A80" s="37">
        <v>79</v>
      </c>
      <c r="B80" s="38" t="s">
        <v>73</v>
      </c>
      <c r="C80" s="38" t="s">
        <v>266</v>
      </c>
      <c r="D80" s="38" t="s">
        <v>70</v>
      </c>
      <c r="E80" s="39"/>
      <c r="F80" s="40" t="s">
        <v>416</v>
      </c>
      <c r="G80" s="37">
        <v>79</v>
      </c>
      <c r="H80" s="64" t="s">
        <v>587</v>
      </c>
      <c r="I80" s="41" t="s">
        <v>1471</v>
      </c>
      <c r="J80" s="37">
        <v>79</v>
      </c>
    </row>
    <row r="81" spans="1:10" s="41" customFormat="1" ht="22.5" customHeight="1">
      <c r="A81" s="37">
        <v>80</v>
      </c>
      <c r="B81" s="38" t="s">
        <v>73</v>
      </c>
      <c r="C81" s="38" t="s">
        <v>267</v>
      </c>
      <c r="D81" s="38" t="s">
        <v>268</v>
      </c>
      <c r="E81" s="39"/>
      <c r="F81" s="40" t="s">
        <v>417</v>
      </c>
      <c r="G81" s="37">
        <v>80</v>
      </c>
      <c r="H81" s="64" t="s">
        <v>978</v>
      </c>
      <c r="I81" s="41" t="s">
        <v>1219</v>
      </c>
      <c r="J81" s="37">
        <v>80</v>
      </c>
    </row>
    <row r="82" spans="1:10" s="41" customFormat="1" ht="22.5" customHeight="1">
      <c r="A82" s="37">
        <v>81</v>
      </c>
      <c r="B82" s="38" t="s">
        <v>73</v>
      </c>
      <c r="C82" s="38" t="s">
        <v>126</v>
      </c>
      <c r="D82" s="38" t="s">
        <v>16</v>
      </c>
      <c r="E82" s="39"/>
      <c r="F82" s="40" t="s">
        <v>715</v>
      </c>
      <c r="G82" s="37">
        <v>81</v>
      </c>
      <c r="H82" s="64" t="s">
        <v>977</v>
      </c>
      <c r="I82" s="41" t="s">
        <v>1220</v>
      </c>
      <c r="J82" s="37">
        <v>81</v>
      </c>
    </row>
    <row r="83" spans="1:10" s="41" customFormat="1" ht="22.5" customHeight="1">
      <c r="A83" s="37">
        <v>82</v>
      </c>
      <c r="B83" s="38" t="s">
        <v>74</v>
      </c>
      <c r="C83" s="38" t="s">
        <v>269</v>
      </c>
      <c r="D83" s="38" t="s">
        <v>270</v>
      </c>
      <c r="E83" s="39"/>
      <c r="F83" s="40" t="s">
        <v>418</v>
      </c>
      <c r="G83" s="37">
        <v>82</v>
      </c>
      <c r="H83" s="64" t="s">
        <v>1366</v>
      </c>
      <c r="I83" s="41" t="s">
        <v>1221</v>
      </c>
      <c r="J83" s="37">
        <v>82</v>
      </c>
    </row>
    <row r="84" spans="1:10" s="41" customFormat="1" ht="22.5" customHeight="1">
      <c r="A84" s="37">
        <v>83</v>
      </c>
      <c r="B84" s="38" t="s">
        <v>74</v>
      </c>
      <c r="C84" s="38" t="s">
        <v>77</v>
      </c>
      <c r="D84" s="38" t="s">
        <v>78</v>
      </c>
      <c r="E84" s="39"/>
      <c r="F84" s="40" t="s">
        <v>716</v>
      </c>
      <c r="G84" s="37">
        <v>83</v>
      </c>
      <c r="H84" s="64" t="s">
        <v>1367</v>
      </c>
      <c r="I84" s="41" t="s">
        <v>1472</v>
      </c>
      <c r="J84" s="37">
        <v>83</v>
      </c>
    </row>
    <row r="85" spans="1:10" s="41" customFormat="1" ht="22.5" customHeight="1">
      <c r="A85" s="37">
        <v>84</v>
      </c>
      <c r="B85" s="38" t="s">
        <v>74</v>
      </c>
      <c r="C85" s="38" t="s">
        <v>717</v>
      </c>
      <c r="D85" s="38" t="s">
        <v>718</v>
      </c>
      <c r="E85" s="39"/>
      <c r="F85" s="40" t="s">
        <v>719</v>
      </c>
      <c r="G85" s="37">
        <v>84</v>
      </c>
      <c r="H85" s="64" t="s">
        <v>976</v>
      </c>
      <c r="I85" s="41" t="s">
        <v>1222</v>
      </c>
      <c r="J85" s="37">
        <v>84</v>
      </c>
    </row>
    <row r="86" spans="1:10" s="41" customFormat="1" ht="22.5" customHeight="1">
      <c r="A86" s="37">
        <v>85</v>
      </c>
      <c r="B86" s="38" t="s">
        <v>80</v>
      </c>
      <c r="C86" s="38" t="s">
        <v>192</v>
      </c>
      <c r="D86" s="38" t="s">
        <v>720</v>
      </c>
      <c r="E86" s="39"/>
      <c r="F86" s="40" t="s">
        <v>721</v>
      </c>
      <c r="G86" s="37">
        <v>85</v>
      </c>
      <c r="H86" s="64" t="s">
        <v>589</v>
      </c>
      <c r="I86" s="41" t="s">
        <v>1223</v>
      </c>
      <c r="J86" s="37">
        <v>85</v>
      </c>
    </row>
    <row r="87" spans="1:10" s="41" customFormat="1" ht="22.5" customHeight="1">
      <c r="A87" s="37">
        <v>86</v>
      </c>
      <c r="B87" s="38" t="s">
        <v>80</v>
      </c>
      <c r="C87" s="38" t="s">
        <v>271</v>
      </c>
      <c r="D87" s="38" t="s">
        <v>45</v>
      </c>
      <c r="E87" s="39"/>
      <c r="F87" s="40" t="s">
        <v>419</v>
      </c>
      <c r="G87" s="37">
        <v>86</v>
      </c>
      <c r="H87" s="64" t="s">
        <v>1003</v>
      </c>
      <c r="I87" s="41" t="s">
        <v>1224</v>
      </c>
      <c r="J87" s="37">
        <v>86</v>
      </c>
    </row>
    <row r="88" spans="1:10" s="41" customFormat="1" ht="22.5" customHeight="1">
      <c r="A88" s="37">
        <v>87</v>
      </c>
      <c r="B88" s="38" t="s">
        <v>81</v>
      </c>
      <c r="C88" s="38" t="s">
        <v>722</v>
      </c>
      <c r="D88" s="38" t="s">
        <v>93</v>
      </c>
      <c r="E88" s="39"/>
      <c r="F88" s="40" t="s">
        <v>723</v>
      </c>
      <c r="G88" s="37">
        <v>87</v>
      </c>
      <c r="H88" s="64" t="s">
        <v>1000</v>
      </c>
      <c r="I88" s="41" t="s">
        <v>1225</v>
      </c>
      <c r="J88" s="37">
        <v>87</v>
      </c>
    </row>
    <row r="89" spans="1:10" s="41" customFormat="1" ht="22.5" customHeight="1">
      <c r="A89" s="37">
        <v>88</v>
      </c>
      <c r="B89" s="38" t="s">
        <v>82</v>
      </c>
      <c r="C89" s="38" t="s">
        <v>724</v>
      </c>
      <c r="D89" s="38" t="s">
        <v>725</v>
      </c>
      <c r="E89" s="39"/>
      <c r="F89" s="40" t="s">
        <v>726</v>
      </c>
      <c r="G89" s="37">
        <v>88</v>
      </c>
      <c r="H89" s="64" t="s">
        <v>1015</v>
      </c>
      <c r="I89" s="41" t="s">
        <v>1226</v>
      </c>
      <c r="J89" s="37">
        <v>88</v>
      </c>
    </row>
    <row r="90" spans="1:10" s="41" customFormat="1" ht="22.5" customHeight="1">
      <c r="A90" s="37">
        <v>89</v>
      </c>
      <c r="B90" s="38" t="s">
        <v>82</v>
      </c>
      <c r="C90" s="38" t="s">
        <v>727</v>
      </c>
      <c r="D90" s="38" t="s">
        <v>728</v>
      </c>
      <c r="E90" s="39"/>
      <c r="F90" s="40" t="s">
        <v>729</v>
      </c>
      <c r="G90" s="37">
        <v>89</v>
      </c>
      <c r="H90" s="64" t="s">
        <v>602</v>
      </c>
      <c r="I90" s="41" t="s">
        <v>1227</v>
      </c>
      <c r="J90" s="37">
        <v>89</v>
      </c>
    </row>
    <row r="91" spans="1:10" s="41" customFormat="1" ht="22.5" customHeight="1">
      <c r="A91" s="37">
        <v>90</v>
      </c>
      <c r="B91" s="38" t="s">
        <v>82</v>
      </c>
      <c r="C91" s="38" t="s">
        <v>272</v>
      </c>
      <c r="D91" s="38" t="s">
        <v>61</v>
      </c>
      <c r="E91" s="39"/>
      <c r="F91" s="40" t="s">
        <v>420</v>
      </c>
      <c r="G91" s="37">
        <v>90</v>
      </c>
      <c r="H91" s="64" t="s">
        <v>600</v>
      </c>
      <c r="I91" s="41" t="s">
        <v>1228</v>
      </c>
      <c r="J91" s="37">
        <v>90</v>
      </c>
    </row>
    <row r="92" spans="1:10" s="41" customFormat="1" ht="22.5" customHeight="1">
      <c r="A92" s="37">
        <v>91</v>
      </c>
      <c r="B92" s="38" t="s">
        <v>82</v>
      </c>
      <c r="C92" s="38" t="s">
        <v>730</v>
      </c>
      <c r="D92" s="38" t="s">
        <v>731</v>
      </c>
      <c r="E92" s="39"/>
      <c r="F92" s="40" t="s">
        <v>732</v>
      </c>
      <c r="G92" s="37">
        <v>91</v>
      </c>
      <c r="H92" s="64" t="s">
        <v>975</v>
      </c>
      <c r="I92" s="41" t="s">
        <v>1473</v>
      </c>
      <c r="J92" s="37">
        <v>91</v>
      </c>
    </row>
    <row r="93" spans="1:10" s="41" customFormat="1" ht="22.5" customHeight="1">
      <c r="A93" s="37">
        <v>92</v>
      </c>
      <c r="B93" s="38" t="s">
        <v>85</v>
      </c>
      <c r="C93" s="38" t="s">
        <v>192</v>
      </c>
      <c r="D93" s="38" t="s">
        <v>36</v>
      </c>
      <c r="E93" s="39"/>
      <c r="F93" s="40" t="s">
        <v>733</v>
      </c>
      <c r="G93" s="37">
        <v>92</v>
      </c>
      <c r="H93" s="64" t="s">
        <v>596</v>
      </c>
      <c r="I93" s="41" t="s">
        <v>1229</v>
      </c>
      <c r="J93" s="37">
        <v>92</v>
      </c>
    </row>
    <row r="94" spans="1:10" s="41" customFormat="1" ht="22.5" customHeight="1">
      <c r="A94" s="37">
        <v>93</v>
      </c>
      <c r="B94" s="38" t="s">
        <v>85</v>
      </c>
      <c r="C94" s="38" t="s">
        <v>116</v>
      </c>
      <c r="D94" s="38" t="s">
        <v>371</v>
      </c>
      <c r="E94" s="39"/>
      <c r="F94" s="40" t="s">
        <v>734</v>
      </c>
      <c r="G94" s="37">
        <v>93</v>
      </c>
      <c r="H94" s="64" t="s">
        <v>1023</v>
      </c>
      <c r="I94" s="41" t="s">
        <v>1230</v>
      </c>
      <c r="J94" s="37">
        <v>93</v>
      </c>
    </row>
    <row r="95" spans="1:10" s="41" customFormat="1" ht="22.5" customHeight="1">
      <c r="A95" s="37">
        <v>94</v>
      </c>
      <c r="B95" s="38" t="s">
        <v>87</v>
      </c>
      <c r="C95" s="38" t="s">
        <v>88</v>
      </c>
      <c r="D95" s="38" t="s">
        <v>89</v>
      </c>
      <c r="E95" s="39"/>
      <c r="F95" s="40" t="s">
        <v>421</v>
      </c>
      <c r="G95" s="37">
        <v>94</v>
      </c>
      <c r="H95" s="64" t="s">
        <v>985</v>
      </c>
      <c r="I95" s="41" t="s">
        <v>1474</v>
      </c>
      <c r="J95" s="37">
        <v>94</v>
      </c>
    </row>
    <row r="96" spans="1:10" s="41" customFormat="1" ht="22.5" customHeight="1">
      <c r="A96" s="37">
        <v>95</v>
      </c>
      <c r="B96" s="38" t="s">
        <v>87</v>
      </c>
      <c r="C96" s="38" t="s">
        <v>735</v>
      </c>
      <c r="D96" s="38" t="s">
        <v>736</v>
      </c>
      <c r="E96" s="39"/>
      <c r="F96" s="40" t="s">
        <v>737</v>
      </c>
      <c r="G96" s="37">
        <v>95</v>
      </c>
      <c r="H96" s="64" t="s">
        <v>1368</v>
      </c>
      <c r="I96" s="41" t="s">
        <v>1475</v>
      </c>
      <c r="J96" s="37">
        <v>95</v>
      </c>
    </row>
    <row r="97" spans="1:10" s="41" customFormat="1" ht="22.5" customHeight="1">
      <c r="A97" s="37">
        <v>96</v>
      </c>
      <c r="B97" s="38" t="s">
        <v>87</v>
      </c>
      <c r="C97" s="38" t="s">
        <v>24</v>
      </c>
      <c r="D97" s="38" t="s">
        <v>90</v>
      </c>
      <c r="E97" s="39"/>
      <c r="F97" s="40" t="s">
        <v>422</v>
      </c>
      <c r="G97" s="37">
        <v>96</v>
      </c>
      <c r="H97" s="64" t="s">
        <v>596</v>
      </c>
      <c r="I97" s="41" t="s">
        <v>1231</v>
      </c>
      <c r="J97" s="37">
        <v>96</v>
      </c>
    </row>
    <row r="98" spans="1:10" s="41" customFormat="1" ht="22.5" customHeight="1">
      <c r="A98" s="37">
        <v>97</v>
      </c>
      <c r="B98" s="38" t="s">
        <v>87</v>
      </c>
      <c r="C98" s="38" t="s">
        <v>1086</v>
      </c>
      <c r="D98" s="38" t="s">
        <v>276</v>
      </c>
      <c r="E98" s="39"/>
      <c r="F98" s="40" t="s">
        <v>423</v>
      </c>
      <c r="G98" s="37">
        <v>97</v>
      </c>
      <c r="H98" s="64" t="s">
        <v>971</v>
      </c>
      <c r="I98" s="41" t="s">
        <v>1232</v>
      </c>
      <c r="J98" s="37">
        <v>97</v>
      </c>
    </row>
    <row r="99" spans="1:10" s="41" customFormat="1" ht="22.5" customHeight="1">
      <c r="A99" s="37">
        <v>98</v>
      </c>
      <c r="B99" s="38" t="s">
        <v>91</v>
      </c>
      <c r="C99" s="38" t="s">
        <v>195</v>
      </c>
      <c r="D99" s="38" t="s">
        <v>196</v>
      </c>
      <c r="E99" s="39"/>
      <c r="F99" s="40" t="s">
        <v>424</v>
      </c>
      <c r="G99" s="37">
        <v>98</v>
      </c>
      <c r="H99" s="64" t="s">
        <v>588</v>
      </c>
      <c r="I99" s="41" t="s">
        <v>1476</v>
      </c>
      <c r="J99" s="37">
        <v>98</v>
      </c>
    </row>
    <row r="100" spans="1:10" s="41" customFormat="1" ht="22.5" customHeight="1">
      <c r="A100" s="37">
        <v>99</v>
      </c>
      <c r="B100" s="38" t="s">
        <v>91</v>
      </c>
      <c r="C100" s="38" t="s">
        <v>108</v>
      </c>
      <c r="D100" s="38" t="s">
        <v>277</v>
      </c>
      <c r="E100" s="39"/>
      <c r="F100" s="40" t="s">
        <v>425</v>
      </c>
      <c r="G100" s="37">
        <v>99</v>
      </c>
      <c r="H100" s="64" t="s">
        <v>1010</v>
      </c>
      <c r="I100" s="41" t="s">
        <v>1233</v>
      </c>
      <c r="J100" s="37">
        <v>99</v>
      </c>
    </row>
    <row r="101" spans="1:10" s="41" customFormat="1" ht="22.5" customHeight="1">
      <c r="A101" s="37">
        <v>100</v>
      </c>
      <c r="B101" s="38" t="s">
        <v>91</v>
      </c>
      <c r="C101" s="38" t="s">
        <v>278</v>
      </c>
      <c r="D101" s="38" t="s">
        <v>137</v>
      </c>
      <c r="E101" s="39"/>
      <c r="F101" s="40" t="s">
        <v>426</v>
      </c>
      <c r="G101" s="37">
        <v>100</v>
      </c>
      <c r="H101" s="64" t="s">
        <v>600</v>
      </c>
      <c r="I101" s="41" t="s">
        <v>1477</v>
      </c>
      <c r="J101" s="37">
        <v>100</v>
      </c>
    </row>
    <row r="102" spans="1:10" s="41" customFormat="1" ht="22.5" customHeight="1">
      <c r="A102" s="37">
        <v>101</v>
      </c>
      <c r="B102" s="38" t="s">
        <v>92</v>
      </c>
      <c r="C102" s="38" t="s">
        <v>738</v>
      </c>
      <c r="D102" s="38" t="s">
        <v>739</v>
      </c>
      <c r="E102" s="39"/>
      <c r="F102" s="40" t="s">
        <v>740</v>
      </c>
      <c r="G102" s="37">
        <v>101</v>
      </c>
      <c r="H102" s="64" t="s">
        <v>1024</v>
      </c>
      <c r="I102" s="41" t="s">
        <v>1234</v>
      </c>
      <c r="J102" s="37">
        <v>101</v>
      </c>
    </row>
    <row r="103" spans="1:10" s="41" customFormat="1" ht="22.5" customHeight="1">
      <c r="A103" s="37">
        <v>102</v>
      </c>
      <c r="B103" s="38" t="s">
        <v>92</v>
      </c>
      <c r="C103" s="38" t="s">
        <v>17</v>
      </c>
      <c r="D103" s="38" t="s">
        <v>18</v>
      </c>
      <c r="E103" s="39"/>
      <c r="F103" s="40" t="s">
        <v>427</v>
      </c>
      <c r="G103" s="37">
        <v>102</v>
      </c>
      <c r="H103" s="64" t="s">
        <v>1369</v>
      </c>
      <c r="I103" s="41" t="s">
        <v>1235</v>
      </c>
      <c r="J103" s="37">
        <v>102</v>
      </c>
    </row>
    <row r="104" spans="1:10" s="41" customFormat="1" ht="22.5" customHeight="1">
      <c r="A104" s="37">
        <v>103</v>
      </c>
      <c r="B104" s="38" t="s">
        <v>92</v>
      </c>
      <c r="C104" s="38" t="s">
        <v>741</v>
      </c>
      <c r="D104" s="38" t="s">
        <v>742</v>
      </c>
      <c r="E104" s="39"/>
      <c r="F104" s="40" t="s">
        <v>743</v>
      </c>
      <c r="G104" s="37">
        <v>103</v>
      </c>
      <c r="H104" s="64" t="s">
        <v>970</v>
      </c>
      <c r="I104" s="41" t="s">
        <v>1236</v>
      </c>
      <c r="J104" s="37">
        <v>103</v>
      </c>
    </row>
    <row r="105" spans="1:10" s="41" customFormat="1" ht="22.5" customHeight="1">
      <c r="A105" s="37">
        <v>104</v>
      </c>
      <c r="B105" s="38" t="s">
        <v>92</v>
      </c>
      <c r="C105" s="38" t="s">
        <v>198</v>
      </c>
      <c r="D105" s="38" t="s">
        <v>1092</v>
      </c>
      <c r="E105" s="39"/>
      <c r="F105" s="40" t="s">
        <v>428</v>
      </c>
      <c r="G105" s="37">
        <v>104</v>
      </c>
      <c r="H105" s="64" t="s">
        <v>1370</v>
      </c>
      <c r="I105" s="41" t="s">
        <v>1546</v>
      </c>
      <c r="J105" s="37">
        <v>104</v>
      </c>
    </row>
    <row r="106" spans="1:10" s="41" customFormat="1" ht="22.5" customHeight="1">
      <c r="A106" s="37">
        <v>105</v>
      </c>
      <c r="B106" s="38" t="s">
        <v>92</v>
      </c>
      <c r="C106" s="38" t="s">
        <v>39</v>
      </c>
      <c r="D106" s="38" t="s">
        <v>13</v>
      </c>
      <c r="E106" s="39"/>
      <c r="F106" s="40" t="s">
        <v>744</v>
      </c>
      <c r="G106" s="37">
        <v>105</v>
      </c>
      <c r="H106" s="64" t="s">
        <v>1022</v>
      </c>
      <c r="I106" s="41" t="s">
        <v>1237</v>
      </c>
      <c r="J106" s="37">
        <v>105</v>
      </c>
    </row>
    <row r="107" spans="1:10" s="41" customFormat="1" ht="22.5" customHeight="1">
      <c r="A107" s="37">
        <v>106</v>
      </c>
      <c r="B107" s="38" t="s">
        <v>92</v>
      </c>
      <c r="C107" s="38" t="s">
        <v>280</v>
      </c>
      <c r="D107" s="38" t="s">
        <v>16</v>
      </c>
      <c r="E107" s="39"/>
      <c r="F107" s="40" t="s">
        <v>429</v>
      </c>
      <c r="G107" s="37">
        <v>106</v>
      </c>
      <c r="H107" s="64" t="s">
        <v>972</v>
      </c>
      <c r="I107" s="41" t="s">
        <v>1238</v>
      </c>
      <c r="J107" s="37">
        <v>106</v>
      </c>
    </row>
    <row r="108" spans="1:10" s="41" customFormat="1" ht="22.5" customHeight="1">
      <c r="A108" s="37">
        <v>107</v>
      </c>
      <c r="B108" s="38" t="s">
        <v>92</v>
      </c>
      <c r="C108" s="38" t="s">
        <v>745</v>
      </c>
      <c r="D108" s="38" t="s">
        <v>746</v>
      </c>
      <c r="E108" s="39"/>
      <c r="F108" s="40" t="s">
        <v>747</v>
      </c>
      <c r="G108" s="37">
        <v>107</v>
      </c>
      <c r="H108" s="64" t="s">
        <v>587</v>
      </c>
      <c r="I108" s="41" t="s">
        <v>1239</v>
      </c>
      <c r="J108" s="37">
        <v>107</v>
      </c>
    </row>
    <row r="109" spans="1:10" s="41" customFormat="1" ht="22.5" customHeight="1">
      <c r="A109" s="37">
        <v>108</v>
      </c>
      <c r="B109" s="38" t="s">
        <v>95</v>
      </c>
      <c r="C109" s="38" t="s">
        <v>15</v>
      </c>
      <c r="D109" s="38" t="s">
        <v>748</v>
      </c>
      <c r="E109" s="39"/>
      <c r="F109" s="40" t="s">
        <v>749</v>
      </c>
      <c r="G109" s="37">
        <v>108</v>
      </c>
      <c r="H109" s="64" t="s">
        <v>587</v>
      </c>
      <c r="I109" s="41" t="s">
        <v>1240</v>
      </c>
      <c r="J109" s="37">
        <v>108</v>
      </c>
    </row>
    <row r="110" spans="1:10" s="41" customFormat="1" ht="22.5" customHeight="1">
      <c r="A110" s="37">
        <v>109</v>
      </c>
      <c r="B110" s="38" t="s">
        <v>95</v>
      </c>
      <c r="C110" s="38" t="s">
        <v>83</v>
      </c>
      <c r="D110" s="38" t="s">
        <v>282</v>
      </c>
      <c r="E110" s="39"/>
      <c r="F110" s="40" t="s">
        <v>431</v>
      </c>
      <c r="G110" s="37">
        <v>109</v>
      </c>
      <c r="H110" s="64" t="s">
        <v>1011</v>
      </c>
      <c r="I110" s="41" t="s">
        <v>1241</v>
      </c>
      <c r="J110" s="37">
        <v>109</v>
      </c>
    </row>
    <row r="111" spans="1:10" s="41" customFormat="1" ht="22.5" customHeight="1">
      <c r="A111" s="37">
        <v>110</v>
      </c>
      <c r="B111" s="38" t="s">
        <v>95</v>
      </c>
      <c r="C111" s="38" t="s">
        <v>83</v>
      </c>
      <c r="D111" s="38" t="s">
        <v>283</v>
      </c>
      <c r="E111" s="39"/>
      <c r="F111" s="40" t="s">
        <v>432</v>
      </c>
      <c r="G111" s="37">
        <v>110</v>
      </c>
      <c r="H111" s="64" t="s">
        <v>587</v>
      </c>
      <c r="I111" s="41" t="s">
        <v>1242</v>
      </c>
      <c r="J111" s="37">
        <v>110</v>
      </c>
    </row>
    <row r="112" spans="1:10" s="41" customFormat="1" ht="22.5" customHeight="1">
      <c r="A112" s="37">
        <v>111</v>
      </c>
      <c r="B112" s="38" t="s">
        <v>97</v>
      </c>
      <c r="C112" s="38" t="s">
        <v>284</v>
      </c>
      <c r="D112" s="38" t="s">
        <v>285</v>
      </c>
      <c r="E112" s="39"/>
      <c r="F112" s="40" t="s">
        <v>433</v>
      </c>
      <c r="G112" s="37">
        <v>111</v>
      </c>
      <c r="H112" s="64" t="s">
        <v>994</v>
      </c>
      <c r="I112" s="41" t="s">
        <v>1478</v>
      </c>
      <c r="J112" s="37">
        <v>111</v>
      </c>
    </row>
    <row r="113" spans="1:10" s="41" customFormat="1" ht="22.5" customHeight="1">
      <c r="A113" s="37">
        <v>112</v>
      </c>
      <c r="B113" s="38" t="s">
        <v>97</v>
      </c>
      <c r="C113" s="38" t="s">
        <v>286</v>
      </c>
      <c r="D113" s="38" t="s">
        <v>287</v>
      </c>
      <c r="E113" s="39"/>
      <c r="F113" s="40" t="s">
        <v>750</v>
      </c>
      <c r="G113" s="37">
        <v>112</v>
      </c>
      <c r="H113" s="64" t="s">
        <v>1021</v>
      </c>
      <c r="I113" s="41" t="s">
        <v>1243</v>
      </c>
      <c r="J113" s="37">
        <v>112</v>
      </c>
    </row>
    <row r="114" spans="1:10" s="41" customFormat="1" ht="22.5" customHeight="1">
      <c r="A114" s="37">
        <v>113</v>
      </c>
      <c r="B114" s="38" t="s">
        <v>751</v>
      </c>
      <c r="C114" s="38" t="s">
        <v>752</v>
      </c>
      <c r="D114" s="38" t="s">
        <v>753</v>
      </c>
      <c r="E114" s="39"/>
      <c r="F114" s="40" t="s">
        <v>754</v>
      </c>
      <c r="G114" s="37">
        <v>113</v>
      </c>
      <c r="H114" s="64" t="s">
        <v>1371</v>
      </c>
      <c r="I114" s="41" t="s">
        <v>1479</v>
      </c>
      <c r="J114" s="37">
        <v>113</v>
      </c>
    </row>
    <row r="115" spans="1:10" s="41" customFormat="1" ht="22.5" customHeight="1">
      <c r="A115" s="37">
        <v>114</v>
      </c>
      <c r="B115" s="38" t="s">
        <v>98</v>
      </c>
      <c r="C115" s="38" t="s">
        <v>755</v>
      </c>
      <c r="D115" s="38" t="s">
        <v>281</v>
      </c>
      <c r="E115" s="39"/>
      <c r="F115" s="40" t="s">
        <v>756</v>
      </c>
      <c r="G115" s="37">
        <v>114</v>
      </c>
      <c r="H115" s="64" t="s">
        <v>587</v>
      </c>
      <c r="I115" s="41" t="s">
        <v>1480</v>
      </c>
      <c r="J115" s="37">
        <v>114</v>
      </c>
    </row>
    <row r="116" spans="1:10" s="41" customFormat="1" ht="22.5" customHeight="1">
      <c r="A116" s="37">
        <v>115</v>
      </c>
      <c r="B116" s="38" t="s">
        <v>98</v>
      </c>
      <c r="C116" s="38" t="s">
        <v>757</v>
      </c>
      <c r="D116" s="38" t="s">
        <v>758</v>
      </c>
      <c r="E116" s="39"/>
      <c r="F116" s="40" t="s">
        <v>759</v>
      </c>
      <c r="G116" s="37">
        <v>115</v>
      </c>
      <c r="H116" s="64" t="s">
        <v>587</v>
      </c>
      <c r="I116" s="41" t="s">
        <v>1244</v>
      </c>
      <c r="J116" s="37">
        <v>115</v>
      </c>
    </row>
    <row r="117" spans="1:10" s="41" customFormat="1" ht="22.5" customHeight="1">
      <c r="A117" s="37">
        <v>116</v>
      </c>
      <c r="B117" s="38" t="s">
        <v>98</v>
      </c>
      <c r="C117" s="38" t="s">
        <v>288</v>
      </c>
      <c r="D117" s="38" t="s">
        <v>106</v>
      </c>
      <c r="E117" s="39"/>
      <c r="F117" s="40" t="s">
        <v>760</v>
      </c>
      <c r="G117" s="37">
        <v>116</v>
      </c>
      <c r="H117" s="64" t="s">
        <v>1372</v>
      </c>
      <c r="I117" s="41" t="s">
        <v>1245</v>
      </c>
      <c r="J117" s="37">
        <v>116</v>
      </c>
    </row>
    <row r="118" spans="1:10" s="41" customFormat="1" ht="22.5" customHeight="1">
      <c r="A118" s="37">
        <v>117</v>
      </c>
      <c r="B118" s="38" t="s">
        <v>98</v>
      </c>
      <c r="C118" s="38" t="s">
        <v>201</v>
      </c>
      <c r="D118" s="38" t="s">
        <v>202</v>
      </c>
      <c r="E118" s="39"/>
      <c r="F118" s="40" t="s">
        <v>434</v>
      </c>
      <c r="G118" s="37">
        <v>117</v>
      </c>
      <c r="H118" s="64" t="s">
        <v>1373</v>
      </c>
      <c r="I118" s="41" t="s">
        <v>1246</v>
      </c>
      <c r="J118" s="37">
        <v>117</v>
      </c>
    </row>
    <row r="119" spans="1:10" s="41" customFormat="1" ht="22.5" customHeight="1">
      <c r="A119" s="37">
        <v>118</v>
      </c>
      <c r="B119" s="38" t="s">
        <v>98</v>
      </c>
      <c r="C119" s="38" t="s">
        <v>761</v>
      </c>
      <c r="D119" s="38" t="s">
        <v>106</v>
      </c>
      <c r="E119" s="39"/>
      <c r="F119" s="40" t="s">
        <v>762</v>
      </c>
      <c r="G119" s="37">
        <v>118</v>
      </c>
      <c r="H119" s="64" t="s">
        <v>1025</v>
      </c>
      <c r="I119" s="41" t="s">
        <v>1247</v>
      </c>
      <c r="J119" s="37">
        <v>118</v>
      </c>
    </row>
    <row r="120" spans="1:10" s="41" customFormat="1" ht="22.5" customHeight="1">
      <c r="A120" s="37">
        <v>119</v>
      </c>
      <c r="B120" s="38" t="s">
        <v>101</v>
      </c>
      <c r="C120" s="38" t="s">
        <v>102</v>
      </c>
      <c r="D120" s="38" t="s">
        <v>103</v>
      </c>
      <c r="E120" s="39"/>
      <c r="F120" s="40" t="s">
        <v>435</v>
      </c>
      <c r="G120" s="37">
        <v>119</v>
      </c>
      <c r="H120" s="64" t="s">
        <v>971</v>
      </c>
      <c r="I120" s="41" t="s">
        <v>1481</v>
      </c>
      <c r="J120" s="37">
        <v>119</v>
      </c>
    </row>
    <row r="121" spans="1:10" s="41" customFormat="1" ht="22.5" customHeight="1">
      <c r="A121" s="37">
        <v>120</v>
      </c>
      <c r="B121" s="38" t="s">
        <v>101</v>
      </c>
      <c r="C121" s="38" t="s">
        <v>763</v>
      </c>
      <c r="D121" s="38" t="s">
        <v>308</v>
      </c>
      <c r="E121" s="39"/>
      <c r="F121" s="40" t="s">
        <v>764</v>
      </c>
      <c r="G121" s="37">
        <v>120</v>
      </c>
      <c r="H121" s="64" t="s">
        <v>600</v>
      </c>
      <c r="I121" s="41" t="s">
        <v>1482</v>
      </c>
      <c r="J121" s="37">
        <v>120</v>
      </c>
    </row>
    <row r="122" spans="1:10" s="41" customFormat="1" ht="22.5" customHeight="1">
      <c r="A122" s="37">
        <v>121</v>
      </c>
      <c r="B122" s="38" t="s">
        <v>101</v>
      </c>
      <c r="C122" s="38" t="s">
        <v>755</v>
      </c>
      <c r="D122" s="38" t="s">
        <v>89</v>
      </c>
      <c r="E122" s="39"/>
      <c r="F122" s="40" t="s">
        <v>765</v>
      </c>
      <c r="G122" s="37">
        <v>121</v>
      </c>
      <c r="H122" s="64" t="s">
        <v>587</v>
      </c>
      <c r="I122" s="41" t="s">
        <v>1483</v>
      </c>
      <c r="J122" s="37">
        <v>121</v>
      </c>
    </row>
    <row r="123" spans="1:10" s="41" customFormat="1" ht="22.5" customHeight="1">
      <c r="A123" s="37">
        <v>122</v>
      </c>
      <c r="B123" s="38" t="s">
        <v>104</v>
      </c>
      <c r="C123" s="38" t="s">
        <v>766</v>
      </c>
      <c r="D123" s="38" t="s">
        <v>767</v>
      </c>
      <c r="E123" s="39"/>
      <c r="F123" s="40" t="s">
        <v>768</v>
      </c>
      <c r="G123" s="37">
        <v>122</v>
      </c>
      <c r="H123" s="64" t="s">
        <v>1013</v>
      </c>
      <c r="I123" s="41" t="s">
        <v>1248</v>
      </c>
      <c r="J123" s="37">
        <v>122</v>
      </c>
    </row>
    <row r="124" spans="1:10" s="41" customFormat="1" ht="22.5" customHeight="1">
      <c r="A124" s="37">
        <v>123</v>
      </c>
      <c r="B124" s="38" t="s">
        <v>104</v>
      </c>
      <c r="C124" s="38" t="s">
        <v>105</v>
      </c>
      <c r="D124" s="38" t="s">
        <v>100</v>
      </c>
      <c r="E124" s="39"/>
      <c r="F124" s="40" t="s">
        <v>436</v>
      </c>
      <c r="G124" s="37">
        <v>123</v>
      </c>
      <c r="H124" s="64" t="s">
        <v>1018</v>
      </c>
      <c r="I124" s="41" t="s">
        <v>1249</v>
      </c>
      <c r="J124" s="37">
        <v>123</v>
      </c>
    </row>
    <row r="125" spans="1:10" s="41" customFormat="1" ht="22.5" customHeight="1">
      <c r="A125" s="37">
        <v>124</v>
      </c>
      <c r="B125" s="38" t="s">
        <v>104</v>
      </c>
      <c r="C125" s="38" t="s">
        <v>15</v>
      </c>
      <c r="D125" s="38" t="s">
        <v>769</v>
      </c>
      <c r="E125" s="39"/>
      <c r="F125" s="40" t="s">
        <v>770</v>
      </c>
      <c r="G125" s="37">
        <v>124</v>
      </c>
      <c r="H125" s="64" t="s">
        <v>1006</v>
      </c>
      <c r="I125" s="41" t="s">
        <v>1250</v>
      </c>
      <c r="J125" s="37">
        <v>124</v>
      </c>
    </row>
    <row r="126" spans="1:10" s="41" customFormat="1" ht="22.5" customHeight="1">
      <c r="A126" s="37">
        <v>125</v>
      </c>
      <c r="B126" s="38" t="s">
        <v>104</v>
      </c>
      <c r="C126" s="38" t="s">
        <v>771</v>
      </c>
      <c r="D126" s="38" t="s">
        <v>200</v>
      </c>
      <c r="E126" s="39"/>
      <c r="F126" s="40" t="s">
        <v>772</v>
      </c>
      <c r="G126" s="37">
        <v>125</v>
      </c>
      <c r="H126" s="64" t="s">
        <v>980</v>
      </c>
      <c r="I126" s="41" t="s">
        <v>1251</v>
      </c>
      <c r="J126" s="37">
        <v>125</v>
      </c>
    </row>
    <row r="127" spans="1:10" s="41" customFormat="1" ht="22.5" customHeight="1">
      <c r="A127" s="37">
        <v>126</v>
      </c>
      <c r="B127" s="38" t="s">
        <v>104</v>
      </c>
      <c r="C127" s="38" t="s">
        <v>183</v>
      </c>
      <c r="D127" s="38" t="s">
        <v>289</v>
      </c>
      <c r="E127" s="39"/>
      <c r="F127" s="40" t="s">
        <v>437</v>
      </c>
      <c r="G127" s="37">
        <v>126</v>
      </c>
      <c r="H127" s="64" t="s">
        <v>596</v>
      </c>
      <c r="I127" s="41" t="s">
        <v>1484</v>
      </c>
      <c r="J127" s="37">
        <v>126</v>
      </c>
    </row>
    <row r="128" spans="1:10" s="41" customFormat="1" ht="22.5" customHeight="1">
      <c r="A128" s="37">
        <v>127</v>
      </c>
      <c r="B128" s="38" t="s">
        <v>104</v>
      </c>
      <c r="C128" s="38" t="s">
        <v>274</v>
      </c>
      <c r="D128" s="38" t="s">
        <v>275</v>
      </c>
      <c r="E128" s="39"/>
      <c r="F128" s="40" t="s">
        <v>520</v>
      </c>
      <c r="G128" s="37">
        <v>127</v>
      </c>
      <c r="H128" s="64" t="s">
        <v>587</v>
      </c>
      <c r="I128" s="41" t="s">
        <v>1485</v>
      </c>
      <c r="J128" s="37">
        <v>127</v>
      </c>
    </row>
    <row r="129" spans="1:10" s="41" customFormat="1" ht="22.5" customHeight="1">
      <c r="A129" s="37">
        <v>128</v>
      </c>
      <c r="B129" s="38" t="s">
        <v>104</v>
      </c>
      <c r="C129" s="38" t="s">
        <v>205</v>
      </c>
      <c r="D129" s="38" t="s">
        <v>76</v>
      </c>
      <c r="E129" s="39"/>
      <c r="F129" s="40" t="s">
        <v>438</v>
      </c>
      <c r="G129" s="37">
        <v>128</v>
      </c>
      <c r="H129" s="64" t="s">
        <v>995</v>
      </c>
      <c r="I129" s="41" t="s">
        <v>1252</v>
      </c>
      <c r="J129" s="37">
        <v>128</v>
      </c>
    </row>
    <row r="130" spans="1:10" s="41" customFormat="1" ht="22.5" customHeight="1">
      <c r="A130" s="37">
        <v>129</v>
      </c>
      <c r="B130" s="38" t="s">
        <v>104</v>
      </c>
      <c r="C130" s="38" t="s">
        <v>206</v>
      </c>
      <c r="D130" s="38" t="s">
        <v>207</v>
      </c>
      <c r="E130" s="39"/>
      <c r="F130" s="40" t="s">
        <v>439</v>
      </c>
      <c r="G130" s="37">
        <v>129</v>
      </c>
      <c r="H130" s="64" t="s">
        <v>1374</v>
      </c>
      <c r="I130" s="41" t="s">
        <v>1486</v>
      </c>
      <c r="J130" s="37">
        <v>129</v>
      </c>
    </row>
    <row r="131" spans="1:10" s="41" customFormat="1" ht="22.5" customHeight="1">
      <c r="A131" s="37">
        <v>130</v>
      </c>
      <c r="B131" s="38" t="s">
        <v>104</v>
      </c>
      <c r="C131" s="38" t="s">
        <v>96</v>
      </c>
      <c r="D131" s="38" t="s">
        <v>68</v>
      </c>
      <c r="E131" s="39"/>
      <c r="F131" s="40" t="s">
        <v>430</v>
      </c>
      <c r="G131" s="37">
        <v>130</v>
      </c>
      <c r="H131" s="64" t="s">
        <v>1375</v>
      </c>
      <c r="I131" s="41" t="s">
        <v>1487</v>
      </c>
      <c r="J131" s="37">
        <v>130</v>
      </c>
    </row>
    <row r="132" spans="1:10" s="41" customFormat="1" ht="22.5" customHeight="1">
      <c r="A132" s="37">
        <v>131</v>
      </c>
      <c r="B132" s="38" t="s">
        <v>104</v>
      </c>
      <c r="C132" s="38" t="s">
        <v>290</v>
      </c>
      <c r="D132" s="38" t="s">
        <v>291</v>
      </c>
      <c r="E132" s="39"/>
      <c r="F132" s="40" t="s">
        <v>440</v>
      </c>
      <c r="G132" s="37">
        <v>131</v>
      </c>
      <c r="H132" s="64" t="s">
        <v>603</v>
      </c>
      <c r="I132" s="41" t="s">
        <v>1253</v>
      </c>
      <c r="J132" s="37">
        <v>131</v>
      </c>
    </row>
    <row r="133" spans="1:10" s="41" customFormat="1" ht="22.5" customHeight="1">
      <c r="A133" s="37">
        <v>132</v>
      </c>
      <c r="B133" s="38" t="s">
        <v>104</v>
      </c>
      <c r="C133" s="38" t="s">
        <v>208</v>
      </c>
      <c r="D133" s="38" t="s">
        <v>209</v>
      </c>
      <c r="E133" s="39"/>
      <c r="F133" s="40" t="s">
        <v>441</v>
      </c>
      <c r="G133" s="37">
        <v>132</v>
      </c>
      <c r="H133" s="64" t="s">
        <v>1002</v>
      </c>
      <c r="I133" s="41" t="s">
        <v>1254</v>
      </c>
      <c r="J133" s="37">
        <v>132</v>
      </c>
    </row>
    <row r="134" spans="1:10" s="41" customFormat="1" ht="22.5" customHeight="1">
      <c r="A134" s="37">
        <v>133</v>
      </c>
      <c r="B134" s="38" t="s">
        <v>104</v>
      </c>
      <c r="C134" s="38" t="s">
        <v>292</v>
      </c>
      <c r="D134" s="38" t="s">
        <v>293</v>
      </c>
      <c r="E134" s="39"/>
      <c r="F134" s="40" t="s">
        <v>442</v>
      </c>
      <c r="G134" s="37">
        <v>133</v>
      </c>
      <c r="H134" s="64" t="s">
        <v>1020</v>
      </c>
      <c r="I134" s="41" t="s">
        <v>1255</v>
      </c>
      <c r="J134" s="37">
        <v>133</v>
      </c>
    </row>
    <row r="135" spans="1:10" s="41" customFormat="1" ht="22.5" customHeight="1">
      <c r="A135" s="37">
        <v>134</v>
      </c>
      <c r="B135" s="38" t="s">
        <v>104</v>
      </c>
      <c r="C135" s="38" t="s">
        <v>773</v>
      </c>
      <c r="D135" s="38" t="s">
        <v>774</v>
      </c>
      <c r="E135" s="39"/>
      <c r="F135" s="40" t="s">
        <v>775</v>
      </c>
      <c r="G135" s="37">
        <v>134</v>
      </c>
      <c r="H135" s="64" t="s">
        <v>1376</v>
      </c>
      <c r="I135" s="41" t="s">
        <v>1488</v>
      </c>
      <c r="J135" s="37">
        <v>134</v>
      </c>
    </row>
    <row r="136" spans="1:10" s="41" customFormat="1" ht="22.5" customHeight="1">
      <c r="A136" s="37">
        <v>135</v>
      </c>
      <c r="B136" s="38" t="s">
        <v>104</v>
      </c>
      <c r="C136" s="38" t="s">
        <v>145</v>
      </c>
      <c r="D136" s="38" t="s">
        <v>100</v>
      </c>
      <c r="E136" s="39"/>
      <c r="F136" s="40" t="s">
        <v>776</v>
      </c>
      <c r="G136" s="37">
        <v>135</v>
      </c>
      <c r="H136" s="64" t="s">
        <v>597</v>
      </c>
      <c r="I136" s="41" t="s">
        <v>1256</v>
      </c>
      <c r="J136" s="37">
        <v>135</v>
      </c>
    </row>
    <row r="137" spans="1:10" s="41" customFormat="1" ht="22.5" customHeight="1">
      <c r="A137" s="37">
        <v>136</v>
      </c>
      <c r="B137" s="38" t="s">
        <v>104</v>
      </c>
      <c r="C137" s="38" t="s">
        <v>185</v>
      </c>
      <c r="D137" s="38" t="s">
        <v>186</v>
      </c>
      <c r="E137" s="39"/>
      <c r="F137" s="40" t="s">
        <v>405</v>
      </c>
      <c r="G137" s="37">
        <v>136</v>
      </c>
      <c r="H137" s="64" t="s">
        <v>1375</v>
      </c>
      <c r="I137" s="41" t="s">
        <v>1489</v>
      </c>
      <c r="J137" s="37">
        <v>136</v>
      </c>
    </row>
    <row r="138" spans="1:10" s="41" customFormat="1" ht="22.5" customHeight="1">
      <c r="A138" s="37">
        <v>137</v>
      </c>
      <c r="B138" s="38" t="s">
        <v>104</v>
      </c>
      <c r="C138" s="38" t="s">
        <v>777</v>
      </c>
      <c r="D138" s="38" t="s">
        <v>778</v>
      </c>
      <c r="E138" s="39"/>
      <c r="F138" s="40" t="s">
        <v>779</v>
      </c>
      <c r="G138" s="37">
        <v>137</v>
      </c>
      <c r="H138" s="64" t="s">
        <v>1030</v>
      </c>
      <c r="I138" s="41" t="s">
        <v>1257</v>
      </c>
      <c r="J138" s="37">
        <v>137</v>
      </c>
    </row>
    <row r="139" spans="1:10" s="41" customFormat="1" ht="22.5" customHeight="1">
      <c r="A139" s="37">
        <v>138</v>
      </c>
      <c r="B139" s="38" t="s">
        <v>104</v>
      </c>
      <c r="C139" s="38" t="s">
        <v>780</v>
      </c>
      <c r="D139" s="38" t="s">
        <v>781</v>
      </c>
      <c r="E139" s="39"/>
      <c r="F139" s="40" t="s">
        <v>782</v>
      </c>
      <c r="G139" s="37">
        <v>138</v>
      </c>
      <c r="H139" s="64" t="s">
        <v>1377</v>
      </c>
      <c r="I139" s="41" t="s">
        <v>1490</v>
      </c>
      <c r="J139" s="37">
        <v>138</v>
      </c>
    </row>
    <row r="140" spans="1:10" s="41" customFormat="1" ht="22.5" customHeight="1">
      <c r="A140" s="37">
        <v>140</v>
      </c>
      <c r="B140" s="38" t="s">
        <v>104</v>
      </c>
      <c r="C140" s="38" t="s">
        <v>783</v>
      </c>
      <c r="D140" s="38" t="s">
        <v>131</v>
      </c>
      <c r="E140" s="39"/>
      <c r="F140" s="40" t="s">
        <v>784</v>
      </c>
      <c r="G140" s="37">
        <v>140</v>
      </c>
      <c r="H140" s="64" t="s">
        <v>587</v>
      </c>
      <c r="I140" s="41" t="s">
        <v>1258</v>
      </c>
      <c r="J140" s="37">
        <v>140</v>
      </c>
    </row>
    <row r="141" spans="1:10" s="41" customFormat="1" ht="22.5" customHeight="1">
      <c r="A141" s="37">
        <v>141</v>
      </c>
      <c r="B141" s="38" t="s">
        <v>104</v>
      </c>
      <c r="C141" s="38" t="s">
        <v>785</v>
      </c>
      <c r="D141" s="38" t="s">
        <v>786</v>
      </c>
      <c r="E141" s="39"/>
      <c r="F141" s="40" t="s">
        <v>787</v>
      </c>
      <c r="G141" s="37">
        <v>141</v>
      </c>
      <c r="H141" s="64" t="s">
        <v>1004</v>
      </c>
      <c r="I141" s="41" t="s">
        <v>1259</v>
      </c>
      <c r="J141" s="37">
        <v>141</v>
      </c>
    </row>
    <row r="142" spans="1:10" s="41" customFormat="1" ht="22.5" customHeight="1">
      <c r="A142" s="37">
        <v>142</v>
      </c>
      <c r="B142" s="38" t="s">
        <v>104</v>
      </c>
      <c r="C142" s="38" t="s">
        <v>788</v>
      </c>
      <c r="D142" s="38" t="s">
        <v>279</v>
      </c>
      <c r="E142" s="39"/>
      <c r="F142" s="40" t="s">
        <v>789</v>
      </c>
      <c r="G142" s="37">
        <v>142</v>
      </c>
      <c r="H142" s="64" t="s">
        <v>1378</v>
      </c>
      <c r="I142" s="41" t="s">
        <v>1491</v>
      </c>
      <c r="J142" s="37">
        <v>142</v>
      </c>
    </row>
    <row r="143" spans="1:10" s="41" customFormat="1" ht="22.5" customHeight="1">
      <c r="A143" s="37">
        <v>143</v>
      </c>
      <c r="B143" s="38" t="s">
        <v>104</v>
      </c>
      <c r="C143" s="38" t="s">
        <v>295</v>
      </c>
      <c r="D143" s="38" t="s">
        <v>296</v>
      </c>
      <c r="E143" s="39"/>
      <c r="F143" s="40" t="s">
        <v>443</v>
      </c>
      <c r="G143" s="37">
        <v>143</v>
      </c>
      <c r="H143" s="64" t="s">
        <v>1379</v>
      </c>
      <c r="I143" s="41" t="s">
        <v>1492</v>
      </c>
      <c r="J143" s="37">
        <v>143</v>
      </c>
    </row>
    <row r="144" spans="1:10" s="41" customFormat="1" ht="22.5" customHeight="1">
      <c r="A144" s="37">
        <v>144</v>
      </c>
      <c r="B144" s="38" t="s">
        <v>104</v>
      </c>
      <c r="C144" s="38" t="s">
        <v>297</v>
      </c>
      <c r="D144" s="38" t="s">
        <v>298</v>
      </c>
      <c r="E144" s="39"/>
      <c r="F144" s="40" t="s">
        <v>444</v>
      </c>
      <c r="G144" s="37">
        <v>144</v>
      </c>
      <c r="H144" s="64" t="s">
        <v>998</v>
      </c>
      <c r="I144" s="41" t="s">
        <v>1260</v>
      </c>
      <c r="J144" s="37">
        <v>144</v>
      </c>
    </row>
    <row r="145" spans="1:10" s="41" customFormat="1" ht="22.5" customHeight="1">
      <c r="A145" s="37">
        <v>145</v>
      </c>
      <c r="B145" s="38" t="s">
        <v>104</v>
      </c>
      <c r="C145" s="38" t="s">
        <v>25</v>
      </c>
      <c r="D145" s="38" t="s">
        <v>210</v>
      </c>
      <c r="E145" s="39"/>
      <c r="F145" s="40" t="s">
        <v>790</v>
      </c>
      <c r="G145" s="37">
        <v>145</v>
      </c>
      <c r="H145" s="64" t="s">
        <v>601</v>
      </c>
      <c r="I145" s="41" t="s">
        <v>1261</v>
      </c>
      <c r="J145" s="37">
        <v>145</v>
      </c>
    </row>
    <row r="146" spans="1:10" s="41" customFormat="1" ht="22.5" customHeight="1">
      <c r="A146" s="37">
        <v>146</v>
      </c>
      <c r="B146" s="38" t="s">
        <v>104</v>
      </c>
      <c r="C146" s="38" t="s">
        <v>211</v>
      </c>
      <c r="D146" s="38" t="s">
        <v>182</v>
      </c>
      <c r="E146" s="39"/>
      <c r="F146" s="40" t="s">
        <v>445</v>
      </c>
      <c r="G146" s="37">
        <v>146</v>
      </c>
      <c r="H146" s="64" t="s">
        <v>1016</v>
      </c>
      <c r="I146" s="41" t="s">
        <v>1262</v>
      </c>
      <c r="J146" s="37">
        <v>146</v>
      </c>
    </row>
    <row r="147" spans="1:10" s="41" customFormat="1" ht="22.5" customHeight="1">
      <c r="A147" s="37">
        <v>147</v>
      </c>
      <c r="B147" s="38" t="s">
        <v>104</v>
      </c>
      <c r="C147" s="38" t="s">
        <v>155</v>
      </c>
      <c r="D147" s="38" t="s">
        <v>231</v>
      </c>
      <c r="E147" s="39"/>
      <c r="F147" s="40" t="s">
        <v>504</v>
      </c>
      <c r="G147" s="37">
        <v>147</v>
      </c>
      <c r="H147" s="64" t="s">
        <v>967</v>
      </c>
      <c r="I147" s="41" t="s">
        <v>1493</v>
      </c>
      <c r="J147" s="37">
        <v>147</v>
      </c>
    </row>
    <row r="148" spans="1:10" s="41" customFormat="1" ht="22.5" customHeight="1">
      <c r="A148" s="37">
        <v>148</v>
      </c>
      <c r="B148" s="38" t="s">
        <v>104</v>
      </c>
      <c r="C148" s="38" t="s">
        <v>212</v>
      </c>
      <c r="D148" s="38" t="s">
        <v>213</v>
      </c>
      <c r="E148" s="39"/>
      <c r="F148" s="40" t="s">
        <v>791</v>
      </c>
      <c r="G148" s="37">
        <v>148</v>
      </c>
      <c r="H148" s="64" t="s">
        <v>587</v>
      </c>
      <c r="I148" s="41" t="s">
        <v>1494</v>
      </c>
      <c r="J148" s="37">
        <v>148</v>
      </c>
    </row>
    <row r="149" spans="1:10" s="41" customFormat="1" ht="22.5" customHeight="1">
      <c r="A149" s="37">
        <v>149</v>
      </c>
      <c r="B149" s="38" t="s">
        <v>104</v>
      </c>
      <c r="C149" s="38" t="s">
        <v>344</v>
      </c>
      <c r="D149" s="38" t="s">
        <v>345</v>
      </c>
      <c r="E149" s="39"/>
      <c r="F149" s="40" t="s">
        <v>496</v>
      </c>
      <c r="G149" s="37">
        <v>149</v>
      </c>
      <c r="H149" s="64" t="s">
        <v>1380</v>
      </c>
      <c r="I149" s="41" t="s">
        <v>1495</v>
      </c>
      <c r="J149" s="37">
        <v>149</v>
      </c>
    </row>
    <row r="150" spans="1:10" s="41" customFormat="1" ht="22.5" customHeight="1">
      <c r="A150" s="37">
        <v>150</v>
      </c>
      <c r="B150" s="38" t="s">
        <v>104</v>
      </c>
      <c r="C150" s="38" t="s">
        <v>148</v>
      </c>
      <c r="D150" s="38" t="s">
        <v>18</v>
      </c>
      <c r="E150" s="39"/>
      <c r="F150" s="40" t="s">
        <v>446</v>
      </c>
      <c r="G150" s="37">
        <v>150</v>
      </c>
      <c r="H150" s="64" t="s">
        <v>971</v>
      </c>
      <c r="I150" s="41" t="s">
        <v>1496</v>
      </c>
      <c r="J150" s="37">
        <v>150</v>
      </c>
    </row>
    <row r="151" spans="1:10" s="41" customFormat="1" ht="22.5" customHeight="1">
      <c r="A151" s="37">
        <v>151</v>
      </c>
      <c r="B151" s="38" t="s">
        <v>104</v>
      </c>
      <c r="C151" s="38" t="s">
        <v>792</v>
      </c>
      <c r="D151" s="38" t="s">
        <v>793</v>
      </c>
      <c r="E151" s="39"/>
      <c r="F151" s="40" t="s">
        <v>794</v>
      </c>
      <c r="G151" s="37">
        <v>151</v>
      </c>
      <c r="H151" s="64" t="s">
        <v>1381</v>
      </c>
      <c r="I151" s="41" t="s">
        <v>1497</v>
      </c>
      <c r="J151" s="37">
        <v>151</v>
      </c>
    </row>
    <row r="152" spans="1:10" s="41" customFormat="1" ht="22.5" customHeight="1">
      <c r="A152" s="37">
        <v>152</v>
      </c>
      <c r="B152" s="38" t="s">
        <v>104</v>
      </c>
      <c r="C152" s="38" t="s">
        <v>320</v>
      </c>
      <c r="D152" s="38" t="s">
        <v>795</v>
      </c>
      <c r="E152" s="39"/>
      <c r="F152" s="40" t="s">
        <v>796</v>
      </c>
      <c r="G152" s="37">
        <v>152</v>
      </c>
      <c r="H152" s="64" t="s">
        <v>1009</v>
      </c>
      <c r="I152" s="41" t="s">
        <v>1263</v>
      </c>
      <c r="J152" s="37">
        <v>152</v>
      </c>
    </row>
    <row r="153" spans="1:10" s="41" customFormat="1" ht="22.5" customHeight="1">
      <c r="A153" s="37">
        <v>153</v>
      </c>
      <c r="B153" s="38" t="s">
        <v>104</v>
      </c>
      <c r="C153" s="38" t="s">
        <v>214</v>
      </c>
      <c r="D153" s="38" t="s">
        <v>215</v>
      </c>
      <c r="E153" s="39"/>
      <c r="F153" s="40" t="s">
        <v>447</v>
      </c>
      <c r="G153" s="37">
        <v>153</v>
      </c>
      <c r="H153" s="64" t="s">
        <v>587</v>
      </c>
      <c r="I153" s="41" t="s">
        <v>1498</v>
      </c>
      <c r="J153" s="37">
        <v>153</v>
      </c>
    </row>
    <row r="154" spans="1:10" s="41" customFormat="1" ht="22.5" customHeight="1">
      <c r="A154" s="37">
        <v>154</v>
      </c>
      <c r="B154" s="38" t="s">
        <v>104</v>
      </c>
      <c r="C154" s="38" t="s">
        <v>299</v>
      </c>
      <c r="D154" s="38" t="s">
        <v>300</v>
      </c>
      <c r="E154" s="39"/>
      <c r="F154" s="40" t="s">
        <v>797</v>
      </c>
      <c r="G154" s="37">
        <v>154</v>
      </c>
      <c r="H154" s="64" t="s">
        <v>1382</v>
      </c>
      <c r="I154" s="41" t="s">
        <v>1499</v>
      </c>
      <c r="J154" s="37">
        <v>154</v>
      </c>
    </row>
    <row r="155" spans="1:10" s="41" customFormat="1" ht="22.5" customHeight="1">
      <c r="A155" s="37">
        <v>155</v>
      </c>
      <c r="B155" s="38" t="s">
        <v>104</v>
      </c>
      <c r="C155" s="38" t="s">
        <v>798</v>
      </c>
      <c r="D155" s="38" t="s">
        <v>693</v>
      </c>
      <c r="E155" s="39"/>
      <c r="F155" s="40" t="s">
        <v>799</v>
      </c>
      <c r="G155" s="37">
        <v>155</v>
      </c>
      <c r="H155" s="64" t="s">
        <v>967</v>
      </c>
      <c r="I155" s="41" t="s">
        <v>1264</v>
      </c>
      <c r="J155" s="37">
        <v>155</v>
      </c>
    </row>
    <row r="156" spans="1:10" s="41" customFormat="1" ht="22.5" customHeight="1">
      <c r="A156" s="37">
        <v>156</v>
      </c>
      <c r="B156" s="38" t="s">
        <v>104</v>
      </c>
      <c r="C156" s="38" t="s">
        <v>800</v>
      </c>
      <c r="D156" s="38" t="s">
        <v>113</v>
      </c>
      <c r="E156" s="39"/>
      <c r="F156" s="40" t="s">
        <v>801</v>
      </c>
      <c r="G156" s="37">
        <v>156</v>
      </c>
      <c r="H156" s="64" t="s">
        <v>994</v>
      </c>
      <c r="I156" s="41" t="s">
        <v>1265</v>
      </c>
      <c r="J156" s="37">
        <v>156</v>
      </c>
    </row>
    <row r="157" spans="1:10" s="41" customFormat="1" ht="22.5" customHeight="1">
      <c r="A157" s="37">
        <v>157</v>
      </c>
      <c r="B157" s="38" t="s">
        <v>104</v>
      </c>
      <c r="C157" s="38" t="s">
        <v>301</v>
      </c>
      <c r="D157" s="38" t="s">
        <v>302</v>
      </c>
      <c r="E157" s="39"/>
      <c r="F157" s="40" t="s">
        <v>449</v>
      </c>
      <c r="G157" s="37">
        <v>157</v>
      </c>
      <c r="H157" s="64" t="s">
        <v>1383</v>
      </c>
      <c r="I157" s="41" t="s">
        <v>1266</v>
      </c>
      <c r="J157" s="37">
        <v>157</v>
      </c>
    </row>
    <row r="158" spans="1:10" s="41" customFormat="1" ht="22.5" customHeight="1">
      <c r="A158" s="37">
        <v>158</v>
      </c>
      <c r="B158" s="38" t="s">
        <v>104</v>
      </c>
      <c r="C158" s="38" t="s">
        <v>217</v>
      </c>
      <c r="D158" s="38" t="s">
        <v>120</v>
      </c>
      <c r="E158" s="39"/>
      <c r="F158" s="40" t="s">
        <v>450</v>
      </c>
      <c r="G158" s="37">
        <v>158</v>
      </c>
      <c r="H158" s="64" t="s">
        <v>1384</v>
      </c>
      <c r="I158" s="41" t="s">
        <v>1500</v>
      </c>
      <c r="J158" s="37">
        <v>158</v>
      </c>
    </row>
    <row r="159" spans="1:10" s="41" customFormat="1" ht="22.5" customHeight="1">
      <c r="A159" s="37">
        <v>159</v>
      </c>
      <c r="B159" s="38" t="s">
        <v>104</v>
      </c>
      <c r="C159" s="38" t="s">
        <v>219</v>
      </c>
      <c r="D159" s="38" t="s">
        <v>190</v>
      </c>
      <c r="E159" s="39"/>
      <c r="F159" s="40" t="s">
        <v>451</v>
      </c>
      <c r="G159" s="37">
        <v>159</v>
      </c>
      <c r="H159" s="64" t="s">
        <v>1385</v>
      </c>
      <c r="I159" s="41" t="s">
        <v>1267</v>
      </c>
      <c r="J159" s="37">
        <v>159</v>
      </c>
    </row>
    <row r="160" spans="1:10" s="41" customFormat="1" ht="22.5" customHeight="1">
      <c r="A160" s="37">
        <v>160</v>
      </c>
      <c r="B160" s="38" t="s">
        <v>104</v>
      </c>
      <c r="C160" s="38" t="s">
        <v>115</v>
      </c>
      <c r="D160" s="38" t="s">
        <v>220</v>
      </c>
      <c r="E160" s="39"/>
      <c r="F160" s="40" t="s">
        <v>452</v>
      </c>
      <c r="G160" s="37">
        <v>160</v>
      </c>
      <c r="H160" s="64" t="s">
        <v>1386</v>
      </c>
      <c r="I160" s="41" t="s">
        <v>1268</v>
      </c>
      <c r="J160" s="37">
        <v>160</v>
      </c>
    </row>
    <row r="161" spans="1:10" s="41" customFormat="1" ht="22.5" customHeight="1">
      <c r="A161" s="37">
        <v>161</v>
      </c>
      <c r="B161" s="38" t="s">
        <v>104</v>
      </c>
      <c r="C161" s="38" t="s">
        <v>303</v>
      </c>
      <c r="D161" s="38" t="s">
        <v>304</v>
      </c>
      <c r="E161" s="39"/>
      <c r="F161" s="40" t="s">
        <v>453</v>
      </c>
      <c r="G161" s="37">
        <v>161</v>
      </c>
      <c r="H161" s="64" t="s">
        <v>587</v>
      </c>
      <c r="I161" s="41" t="s">
        <v>1269</v>
      </c>
      <c r="J161" s="37">
        <v>161</v>
      </c>
    </row>
    <row r="162" spans="1:10" s="41" customFormat="1" ht="22.5" customHeight="1">
      <c r="A162" s="37">
        <v>163</v>
      </c>
      <c r="B162" s="38" t="s">
        <v>111</v>
      </c>
      <c r="C162" s="38" t="s">
        <v>802</v>
      </c>
      <c r="D162" s="38" t="s">
        <v>282</v>
      </c>
      <c r="E162" s="39"/>
      <c r="F162" s="40" t="s">
        <v>803</v>
      </c>
      <c r="G162" s="37">
        <v>163</v>
      </c>
      <c r="H162" s="64" t="s">
        <v>1035</v>
      </c>
      <c r="I162" s="41" t="s">
        <v>1270</v>
      </c>
      <c r="J162" s="37">
        <v>163</v>
      </c>
    </row>
    <row r="163" spans="1:10" s="41" customFormat="1" ht="22.5" customHeight="1">
      <c r="A163" s="37">
        <v>164</v>
      </c>
      <c r="B163" s="38" t="s">
        <v>111</v>
      </c>
      <c r="C163" s="38" t="s">
        <v>339</v>
      </c>
      <c r="D163" s="38" t="s">
        <v>340</v>
      </c>
      <c r="E163" s="39"/>
      <c r="F163" s="40" t="s">
        <v>490</v>
      </c>
      <c r="G163" s="37">
        <v>164</v>
      </c>
      <c r="H163" s="64" t="s">
        <v>968</v>
      </c>
      <c r="I163" s="41" t="s">
        <v>1271</v>
      </c>
      <c r="J163" s="37">
        <v>164</v>
      </c>
    </row>
    <row r="164" spans="1:10" s="41" customFormat="1" ht="22.5" customHeight="1">
      <c r="A164" s="37">
        <v>165</v>
      </c>
      <c r="B164" s="38" t="s">
        <v>111</v>
      </c>
      <c r="C164" s="38" t="s">
        <v>221</v>
      </c>
      <c r="D164" s="38" t="s">
        <v>84</v>
      </c>
      <c r="E164" s="39"/>
      <c r="F164" s="40" t="s">
        <v>455</v>
      </c>
      <c r="G164" s="37">
        <v>165</v>
      </c>
      <c r="H164" s="64" t="s">
        <v>587</v>
      </c>
      <c r="I164" s="41" t="s">
        <v>1501</v>
      </c>
      <c r="J164" s="37">
        <v>165</v>
      </c>
    </row>
    <row r="165" spans="1:10" s="41" customFormat="1" ht="22.5" customHeight="1">
      <c r="A165" s="37">
        <v>166</v>
      </c>
      <c r="B165" s="38" t="s">
        <v>111</v>
      </c>
      <c r="C165" s="38" t="s">
        <v>25</v>
      </c>
      <c r="D165" s="38" t="s">
        <v>307</v>
      </c>
      <c r="E165" s="39"/>
      <c r="F165" s="40" t="s">
        <v>456</v>
      </c>
      <c r="G165" s="37">
        <v>166</v>
      </c>
      <c r="H165" s="64" t="s">
        <v>587</v>
      </c>
      <c r="I165" s="41" t="s">
        <v>1272</v>
      </c>
      <c r="J165" s="37">
        <v>166</v>
      </c>
    </row>
    <row r="166" spans="1:10" s="41" customFormat="1" ht="22.5" customHeight="1">
      <c r="A166" s="37">
        <v>167</v>
      </c>
      <c r="B166" s="38" t="s">
        <v>111</v>
      </c>
      <c r="C166" s="38" t="s">
        <v>804</v>
      </c>
      <c r="D166" s="38" t="s">
        <v>805</v>
      </c>
      <c r="E166" s="39"/>
      <c r="F166" s="40" t="s">
        <v>806</v>
      </c>
      <c r="G166" s="37">
        <v>167</v>
      </c>
      <c r="H166" s="64" t="s">
        <v>971</v>
      </c>
      <c r="I166" s="41" t="s">
        <v>1273</v>
      </c>
      <c r="J166" s="37">
        <v>167</v>
      </c>
    </row>
    <row r="167" spans="1:10" s="41" customFormat="1" ht="22.5" customHeight="1">
      <c r="A167" s="37">
        <v>168</v>
      </c>
      <c r="B167" s="38" t="s">
        <v>111</v>
      </c>
      <c r="C167" s="38" t="s">
        <v>807</v>
      </c>
      <c r="D167" s="38" t="s">
        <v>306</v>
      </c>
      <c r="E167" s="39"/>
      <c r="F167" s="40" t="s">
        <v>808</v>
      </c>
      <c r="G167" s="37">
        <v>168</v>
      </c>
      <c r="H167" s="64" t="s">
        <v>975</v>
      </c>
      <c r="I167" s="41" t="s">
        <v>1274</v>
      </c>
      <c r="J167" s="37">
        <v>168</v>
      </c>
    </row>
    <row r="168" spans="1:10" s="41" customFormat="1" ht="22.5" customHeight="1">
      <c r="A168" s="37">
        <v>169</v>
      </c>
      <c r="B168" s="38" t="s">
        <v>111</v>
      </c>
      <c r="C168" s="38" t="s">
        <v>809</v>
      </c>
      <c r="D168" s="38" t="s">
        <v>1111</v>
      </c>
      <c r="E168" s="39"/>
      <c r="F168" s="40" t="s">
        <v>810</v>
      </c>
      <c r="G168" s="37">
        <v>169</v>
      </c>
      <c r="H168" s="64" t="s">
        <v>987</v>
      </c>
      <c r="I168" s="41" t="s">
        <v>1275</v>
      </c>
      <c r="J168" s="37">
        <v>169</v>
      </c>
    </row>
    <row r="169" spans="1:10" s="41" customFormat="1" ht="22.5" customHeight="1">
      <c r="A169" s="37">
        <v>170</v>
      </c>
      <c r="B169" s="38" t="s">
        <v>111</v>
      </c>
      <c r="C169" s="38" t="s">
        <v>71</v>
      </c>
      <c r="D169" s="38" t="s">
        <v>86</v>
      </c>
      <c r="E169" s="39"/>
      <c r="F169" s="40" t="s">
        <v>457</v>
      </c>
      <c r="G169" s="37">
        <v>170</v>
      </c>
      <c r="H169" s="64" t="s">
        <v>1387</v>
      </c>
      <c r="I169" s="41" t="s">
        <v>1502</v>
      </c>
      <c r="J169" s="37">
        <v>170</v>
      </c>
    </row>
    <row r="170" spans="1:10" s="41" customFormat="1" ht="22.5" customHeight="1">
      <c r="A170" s="37">
        <v>171</v>
      </c>
      <c r="B170" s="38" t="s">
        <v>112</v>
      </c>
      <c r="C170" s="38" t="s">
        <v>222</v>
      </c>
      <c r="D170" s="38" t="s">
        <v>309</v>
      </c>
      <c r="E170" s="39"/>
      <c r="F170" s="40" t="s">
        <v>521</v>
      </c>
      <c r="G170" s="37">
        <v>171</v>
      </c>
      <c r="H170" s="64" t="s">
        <v>1388</v>
      </c>
      <c r="I170" s="41" t="s">
        <v>1503</v>
      </c>
      <c r="J170" s="37">
        <v>171</v>
      </c>
    </row>
    <row r="171" spans="1:10" s="41" customFormat="1" ht="22.5" customHeight="1">
      <c r="A171" s="37">
        <v>172</v>
      </c>
      <c r="B171" s="38" t="s">
        <v>112</v>
      </c>
      <c r="C171" s="38" t="s">
        <v>155</v>
      </c>
      <c r="D171" s="38" t="s">
        <v>310</v>
      </c>
      <c r="E171" s="39"/>
      <c r="F171" s="40" t="s">
        <v>458</v>
      </c>
      <c r="G171" s="37">
        <v>172</v>
      </c>
      <c r="H171" s="64" t="s">
        <v>969</v>
      </c>
      <c r="I171" s="41" t="s">
        <v>1276</v>
      </c>
      <c r="J171" s="37">
        <v>172</v>
      </c>
    </row>
    <row r="172" spans="1:10" s="41" customFormat="1" ht="22.5" customHeight="1">
      <c r="A172" s="37">
        <v>173</v>
      </c>
      <c r="B172" s="38" t="s">
        <v>112</v>
      </c>
      <c r="C172" s="38" t="s">
        <v>811</v>
      </c>
      <c r="D172" s="38" t="s">
        <v>812</v>
      </c>
      <c r="E172" s="39"/>
      <c r="F172" s="40" t="s">
        <v>813</v>
      </c>
      <c r="G172" s="37">
        <v>173</v>
      </c>
      <c r="H172" s="64" t="s">
        <v>589</v>
      </c>
      <c r="I172" s="41" t="s">
        <v>1277</v>
      </c>
      <c r="J172" s="37">
        <v>173</v>
      </c>
    </row>
    <row r="173" spans="1:10" s="41" customFormat="1" ht="22.5" customHeight="1">
      <c r="A173" s="37">
        <v>174</v>
      </c>
      <c r="B173" s="38" t="s">
        <v>112</v>
      </c>
      <c r="C173" s="38" t="s">
        <v>184</v>
      </c>
      <c r="D173" s="38" t="s">
        <v>16</v>
      </c>
      <c r="E173" s="39"/>
      <c r="F173" s="40" t="s">
        <v>814</v>
      </c>
      <c r="G173" s="37">
        <v>174</v>
      </c>
      <c r="H173" s="64" t="s">
        <v>587</v>
      </c>
      <c r="I173" s="41" t="s">
        <v>1278</v>
      </c>
      <c r="J173" s="37">
        <v>174</v>
      </c>
    </row>
    <row r="174" spans="1:10" s="41" customFormat="1" ht="22.5" customHeight="1">
      <c r="A174" s="37">
        <v>175</v>
      </c>
      <c r="B174" s="38" t="s">
        <v>112</v>
      </c>
      <c r="C174" s="38" t="s">
        <v>815</v>
      </c>
      <c r="D174" s="38" t="s">
        <v>816</v>
      </c>
      <c r="E174" s="39"/>
      <c r="F174" s="40" t="s">
        <v>817</v>
      </c>
      <c r="G174" s="37">
        <v>175</v>
      </c>
      <c r="H174" s="64" t="s">
        <v>1389</v>
      </c>
      <c r="I174" s="41" t="s">
        <v>1504</v>
      </c>
      <c r="J174" s="37">
        <v>175</v>
      </c>
    </row>
    <row r="175" spans="1:10" s="41" customFormat="1" ht="22.5" customHeight="1">
      <c r="A175" s="37">
        <v>176</v>
      </c>
      <c r="B175" s="38" t="s">
        <v>112</v>
      </c>
      <c r="C175" s="38" t="s">
        <v>115</v>
      </c>
      <c r="D175" s="38" t="s">
        <v>223</v>
      </c>
      <c r="E175" s="39"/>
      <c r="F175" s="40" t="s">
        <v>818</v>
      </c>
      <c r="G175" s="37">
        <v>176</v>
      </c>
      <c r="H175" s="64" t="s">
        <v>1390</v>
      </c>
      <c r="I175" s="41" t="s">
        <v>1505</v>
      </c>
      <c r="J175" s="37">
        <v>176</v>
      </c>
    </row>
    <row r="176" spans="1:10" s="41" customFormat="1" ht="22.5" customHeight="1">
      <c r="A176" s="37">
        <v>177</v>
      </c>
      <c r="B176" s="38" t="s">
        <v>114</v>
      </c>
      <c r="C176" s="38" t="s">
        <v>819</v>
      </c>
      <c r="D176" s="38" t="s">
        <v>820</v>
      </c>
      <c r="E176" s="39"/>
      <c r="F176" s="40" t="s">
        <v>821</v>
      </c>
      <c r="G176" s="37">
        <v>177</v>
      </c>
      <c r="H176" s="64" t="s">
        <v>997</v>
      </c>
      <c r="I176" s="41" t="s">
        <v>1279</v>
      </c>
      <c r="J176" s="37">
        <v>177</v>
      </c>
    </row>
    <row r="177" spans="1:10" s="41" customFormat="1" ht="22.5" customHeight="1">
      <c r="A177" s="37">
        <v>178</v>
      </c>
      <c r="B177" s="38" t="s">
        <v>114</v>
      </c>
      <c r="C177" s="38" t="s">
        <v>115</v>
      </c>
      <c r="D177" s="38" t="s">
        <v>822</v>
      </c>
      <c r="E177" s="39"/>
      <c r="F177" s="40" t="s">
        <v>823</v>
      </c>
      <c r="G177" s="37">
        <v>178</v>
      </c>
      <c r="H177" s="64" t="s">
        <v>596</v>
      </c>
      <c r="I177" s="41" t="s">
        <v>1280</v>
      </c>
      <c r="J177" s="37">
        <v>178</v>
      </c>
    </row>
    <row r="178" spans="1:10" s="41" customFormat="1" ht="22.5" customHeight="1">
      <c r="A178" s="37">
        <v>179</v>
      </c>
      <c r="B178" s="38" t="s">
        <v>116</v>
      </c>
      <c r="C178" s="38" t="s">
        <v>824</v>
      </c>
      <c r="D178" s="38" t="s">
        <v>825</v>
      </c>
      <c r="E178" s="39"/>
      <c r="F178" s="40" t="s">
        <v>826</v>
      </c>
      <c r="G178" s="37">
        <v>179</v>
      </c>
      <c r="H178" s="64" t="s">
        <v>587</v>
      </c>
      <c r="I178" s="41" t="s">
        <v>1281</v>
      </c>
      <c r="J178" s="37">
        <v>179</v>
      </c>
    </row>
    <row r="179" spans="1:10" s="41" customFormat="1" ht="22.5" customHeight="1">
      <c r="A179" s="37">
        <v>180</v>
      </c>
      <c r="B179" s="38" t="s">
        <v>116</v>
      </c>
      <c r="C179" s="38" t="s">
        <v>226</v>
      </c>
      <c r="D179" s="38" t="s">
        <v>89</v>
      </c>
      <c r="E179" s="39"/>
      <c r="F179" s="40" t="s">
        <v>459</v>
      </c>
      <c r="G179" s="37">
        <v>180</v>
      </c>
      <c r="H179" s="64" t="s">
        <v>598</v>
      </c>
      <c r="I179" s="41" t="s">
        <v>1282</v>
      </c>
      <c r="J179" s="37">
        <v>180</v>
      </c>
    </row>
    <row r="180" spans="1:10" s="41" customFormat="1" ht="22.5" customHeight="1">
      <c r="A180" s="37">
        <v>181</v>
      </c>
      <c r="B180" s="38" t="s">
        <v>118</v>
      </c>
      <c r="C180" s="38" t="s">
        <v>75</v>
      </c>
      <c r="D180" s="38" t="s">
        <v>16</v>
      </c>
      <c r="E180" s="39"/>
      <c r="F180" s="40" t="s">
        <v>460</v>
      </c>
      <c r="G180" s="37">
        <v>181</v>
      </c>
      <c r="H180" s="64" t="s">
        <v>1391</v>
      </c>
      <c r="I180" s="41" t="s">
        <v>1283</v>
      </c>
      <c r="J180" s="37">
        <v>181</v>
      </c>
    </row>
    <row r="181" spans="1:10" s="41" customFormat="1" ht="22.5" customHeight="1">
      <c r="A181" s="37">
        <v>182</v>
      </c>
      <c r="B181" s="38" t="s">
        <v>118</v>
      </c>
      <c r="C181" s="38" t="s">
        <v>155</v>
      </c>
      <c r="D181" s="38" t="s">
        <v>827</v>
      </c>
      <c r="E181" s="39"/>
      <c r="F181" s="40" t="s">
        <v>828</v>
      </c>
      <c r="G181" s="37">
        <v>182</v>
      </c>
      <c r="H181" s="64" t="s">
        <v>1392</v>
      </c>
      <c r="I181" s="41" t="s">
        <v>1506</v>
      </c>
      <c r="J181" s="37">
        <v>182</v>
      </c>
    </row>
    <row r="182" spans="1:10" s="41" customFormat="1" ht="22.5" customHeight="1">
      <c r="A182" s="37">
        <v>183</v>
      </c>
      <c r="B182" s="38" t="s">
        <v>119</v>
      </c>
      <c r="C182" s="38" t="s">
        <v>12</v>
      </c>
      <c r="D182" s="38" t="s">
        <v>61</v>
      </c>
      <c r="E182" s="39"/>
      <c r="F182" s="40" t="s">
        <v>461</v>
      </c>
      <c r="G182" s="37">
        <v>183</v>
      </c>
      <c r="H182" s="64" t="s">
        <v>587</v>
      </c>
      <c r="I182" s="41" t="s">
        <v>1284</v>
      </c>
      <c r="J182" s="37">
        <v>183</v>
      </c>
    </row>
    <row r="183" spans="1:10" s="41" customFormat="1" ht="22.5" customHeight="1">
      <c r="A183" s="37">
        <v>184</v>
      </c>
      <c r="B183" s="38" t="s">
        <v>119</v>
      </c>
      <c r="C183" s="38" t="s">
        <v>121</v>
      </c>
      <c r="D183" s="38" t="s">
        <v>122</v>
      </c>
      <c r="E183" s="39"/>
      <c r="F183" s="40" t="s">
        <v>462</v>
      </c>
      <c r="G183" s="37">
        <v>184</v>
      </c>
      <c r="H183" s="64" t="s">
        <v>1393</v>
      </c>
      <c r="I183" s="41" t="s">
        <v>1507</v>
      </c>
      <c r="J183" s="37">
        <v>184</v>
      </c>
    </row>
    <row r="184" spans="1:10" s="41" customFormat="1" ht="22.5" customHeight="1">
      <c r="A184" s="37">
        <v>185</v>
      </c>
      <c r="B184" s="38" t="s">
        <v>123</v>
      </c>
      <c r="C184" s="38" t="s">
        <v>124</v>
      </c>
      <c r="D184" s="38" t="s">
        <v>100</v>
      </c>
      <c r="E184" s="39"/>
      <c r="F184" s="40" t="s">
        <v>522</v>
      </c>
      <c r="G184" s="37">
        <v>185</v>
      </c>
      <c r="H184" s="64" t="s">
        <v>1394</v>
      </c>
      <c r="I184" s="41" t="s">
        <v>1508</v>
      </c>
      <c r="J184" s="37">
        <v>185</v>
      </c>
    </row>
    <row r="185" spans="1:10" s="41" customFormat="1" ht="22.5" customHeight="1">
      <c r="A185" s="37">
        <v>186</v>
      </c>
      <c r="B185" s="38" t="s">
        <v>123</v>
      </c>
      <c r="C185" s="38" t="s">
        <v>125</v>
      </c>
      <c r="D185" s="38" t="s">
        <v>312</v>
      </c>
      <c r="E185" s="39"/>
      <c r="F185" s="40" t="s">
        <v>463</v>
      </c>
      <c r="G185" s="37">
        <v>186</v>
      </c>
      <c r="H185" s="64" t="s">
        <v>587</v>
      </c>
      <c r="I185" s="41" t="s">
        <v>1285</v>
      </c>
      <c r="J185" s="37">
        <v>186</v>
      </c>
    </row>
    <row r="186" spans="1:10" s="41" customFormat="1" ht="22.5" customHeight="1">
      <c r="A186" s="37">
        <v>187</v>
      </c>
      <c r="B186" s="38" t="s">
        <v>123</v>
      </c>
      <c r="C186" s="38" t="s">
        <v>313</v>
      </c>
      <c r="D186" s="38" t="s">
        <v>314</v>
      </c>
      <c r="E186" s="39"/>
      <c r="F186" s="40" t="s">
        <v>464</v>
      </c>
      <c r="G186" s="37">
        <v>187</v>
      </c>
      <c r="H186" s="64" t="s">
        <v>587</v>
      </c>
      <c r="I186" s="41" t="s">
        <v>1429</v>
      </c>
      <c r="J186" s="37">
        <v>187</v>
      </c>
    </row>
    <row r="187" spans="1:10" s="41" customFormat="1" ht="22.5" customHeight="1">
      <c r="A187" s="37">
        <v>188</v>
      </c>
      <c r="B187" s="38" t="s">
        <v>123</v>
      </c>
      <c r="C187" s="38" t="s">
        <v>315</v>
      </c>
      <c r="D187" s="38" t="s">
        <v>18</v>
      </c>
      <c r="E187" s="39"/>
      <c r="F187" s="40" t="s">
        <v>465</v>
      </c>
      <c r="G187" s="37">
        <v>188</v>
      </c>
      <c r="H187" s="64" t="s">
        <v>587</v>
      </c>
      <c r="I187" s="41" t="s">
        <v>1509</v>
      </c>
      <c r="J187" s="37">
        <v>188</v>
      </c>
    </row>
    <row r="188" spans="1:10" s="41" customFormat="1" ht="22.5" customHeight="1">
      <c r="A188" s="37">
        <v>189</v>
      </c>
      <c r="B188" s="38" t="s">
        <v>123</v>
      </c>
      <c r="C188" s="38" t="s">
        <v>225</v>
      </c>
      <c r="D188" s="38" t="s">
        <v>46</v>
      </c>
      <c r="E188" s="39"/>
      <c r="F188" s="40" t="s">
        <v>466</v>
      </c>
      <c r="G188" s="37">
        <v>189</v>
      </c>
      <c r="H188" s="64" t="s">
        <v>598</v>
      </c>
      <c r="I188" s="41" t="s">
        <v>1286</v>
      </c>
      <c r="J188" s="37">
        <v>189</v>
      </c>
    </row>
    <row r="189" spans="1:10" s="41" customFormat="1" ht="22.5" customHeight="1">
      <c r="A189" s="37">
        <v>190</v>
      </c>
      <c r="B189" s="38" t="s">
        <v>123</v>
      </c>
      <c r="C189" s="38" t="s">
        <v>126</v>
      </c>
      <c r="D189" s="38" t="s">
        <v>127</v>
      </c>
      <c r="E189" s="39"/>
      <c r="F189" s="40" t="s">
        <v>467</v>
      </c>
      <c r="G189" s="37">
        <v>190</v>
      </c>
      <c r="H189" s="64" t="s">
        <v>1395</v>
      </c>
      <c r="I189" s="41" t="s">
        <v>1510</v>
      </c>
      <c r="J189" s="37">
        <v>190</v>
      </c>
    </row>
    <row r="190" spans="1:10" s="41" customFormat="1" ht="22.5" customHeight="1">
      <c r="A190" s="37">
        <v>191</v>
      </c>
      <c r="B190" s="38" t="s">
        <v>128</v>
      </c>
      <c r="C190" s="38" t="s">
        <v>197</v>
      </c>
      <c r="D190" s="38" t="s">
        <v>160</v>
      </c>
      <c r="E190" s="39"/>
      <c r="F190" s="40" t="s">
        <v>468</v>
      </c>
      <c r="G190" s="37">
        <v>191</v>
      </c>
      <c r="H190" s="64" t="s">
        <v>587</v>
      </c>
      <c r="I190" s="41" t="s">
        <v>1511</v>
      </c>
      <c r="J190" s="37">
        <v>191</v>
      </c>
    </row>
    <row r="191" spans="1:10" s="41" customFormat="1" ht="22.5" customHeight="1">
      <c r="A191" s="37">
        <v>192</v>
      </c>
      <c r="B191" s="38" t="s">
        <v>129</v>
      </c>
      <c r="C191" s="38" t="s">
        <v>316</v>
      </c>
      <c r="D191" s="38" t="s">
        <v>317</v>
      </c>
      <c r="E191" s="39"/>
      <c r="F191" s="40" t="s">
        <v>469</v>
      </c>
      <c r="G191" s="37">
        <v>192</v>
      </c>
      <c r="H191" s="64" t="s">
        <v>995</v>
      </c>
      <c r="I191" s="41" t="s">
        <v>1287</v>
      </c>
      <c r="J191" s="37">
        <v>192</v>
      </c>
    </row>
    <row r="192" spans="1:10" s="41" customFormat="1" ht="22.5" customHeight="1">
      <c r="A192" s="37">
        <v>193</v>
      </c>
      <c r="B192" s="38" t="s">
        <v>130</v>
      </c>
      <c r="C192" s="38" t="s">
        <v>829</v>
      </c>
      <c r="D192" s="38" t="s">
        <v>100</v>
      </c>
      <c r="E192" s="39"/>
      <c r="F192" s="40" t="s">
        <v>830</v>
      </c>
      <c r="G192" s="37">
        <v>193</v>
      </c>
      <c r="H192" s="64" t="s">
        <v>1015</v>
      </c>
      <c r="I192" s="41" t="s">
        <v>1288</v>
      </c>
      <c r="J192" s="37">
        <v>193</v>
      </c>
    </row>
    <row r="193" spans="1:10" s="41" customFormat="1" ht="22.5" customHeight="1">
      <c r="A193" s="37">
        <v>194</v>
      </c>
      <c r="B193" s="38" t="s">
        <v>132</v>
      </c>
      <c r="C193" s="38" t="s">
        <v>831</v>
      </c>
      <c r="D193" s="38" t="s">
        <v>832</v>
      </c>
      <c r="E193" s="39"/>
      <c r="F193" s="40" t="s">
        <v>833</v>
      </c>
      <c r="G193" s="37">
        <v>194</v>
      </c>
      <c r="H193" s="64" t="s">
        <v>1396</v>
      </c>
      <c r="I193" s="41" t="s">
        <v>1289</v>
      </c>
      <c r="J193" s="37">
        <v>194</v>
      </c>
    </row>
    <row r="194" spans="1:10" s="41" customFormat="1" ht="22.5" customHeight="1">
      <c r="A194" s="37">
        <v>195</v>
      </c>
      <c r="B194" s="38" t="s">
        <v>132</v>
      </c>
      <c r="C194" s="38" t="s">
        <v>318</v>
      </c>
      <c r="D194" s="38" t="s">
        <v>319</v>
      </c>
      <c r="E194" s="39"/>
      <c r="F194" s="40" t="s">
        <v>470</v>
      </c>
      <c r="G194" s="37">
        <v>195</v>
      </c>
      <c r="H194" s="64" t="s">
        <v>1397</v>
      </c>
      <c r="I194" s="41" t="s">
        <v>1290</v>
      </c>
      <c r="J194" s="37">
        <v>195</v>
      </c>
    </row>
    <row r="195" spans="1:10" s="41" customFormat="1" ht="22.5" customHeight="1">
      <c r="A195" s="37">
        <v>196</v>
      </c>
      <c r="B195" s="38" t="s">
        <v>133</v>
      </c>
      <c r="C195" s="38" t="s">
        <v>192</v>
      </c>
      <c r="D195" s="38" t="s">
        <v>311</v>
      </c>
      <c r="E195" s="39"/>
      <c r="F195" s="40" t="s">
        <v>471</v>
      </c>
      <c r="G195" s="37">
        <v>196</v>
      </c>
      <c r="H195" s="64" t="s">
        <v>999</v>
      </c>
      <c r="I195" s="41" t="s">
        <v>1547</v>
      </c>
      <c r="J195" s="37">
        <v>196</v>
      </c>
    </row>
    <row r="196" spans="1:10" s="41" customFormat="1" ht="22.5" customHeight="1">
      <c r="A196" s="37">
        <v>197</v>
      </c>
      <c r="B196" s="38" t="s">
        <v>133</v>
      </c>
      <c r="C196" s="38" t="s">
        <v>134</v>
      </c>
      <c r="D196" s="38" t="s">
        <v>135</v>
      </c>
      <c r="E196" s="39"/>
      <c r="F196" s="40" t="s">
        <v>472</v>
      </c>
      <c r="G196" s="37">
        <v>197</v>
      </c>
      <c r="H196" s="64" t="s">
        <v>589</v>
      </c>
      <c r="I196" s="41" t="s">
        <v>1512</v>
      </c>
      <c r="J196" s="37">
        <v>197</v>
      </c>
    </row>
    <row r="197" spans="1:10" s="41" customFormat="1" ht="22.5" customHeight="1">
      <c r="A197" s="37">
        <v>198</v>
      </c>
      <c r="B197" s="38" t="s">
        <v>133</v>
      </c>
      <c r="C197" s="38" t="s">
        <v>321</v>
      </c>
      <c r="D197" s="38" t="s">
        <v>322</v>
      </c>
      <c r="E197" s="39"/>
      <c r="F197" s="40" t="s">
        <v>473</v>
      </c>
      <c r="G197" s="37">
        <v>198</v>
      </c>
      <c r="H197" s="64" t="s">
        <v>1012</v>
      </c>
      <c r="I197" s="41" t="s">
        <v>1292</v>
      </c>
      <c r="J197" s="37">
        <v>198</v>
      </c>
    </row>
    <row r="198" spans="1:10" s="41" customFormat="1" ht="22.5" customHeight="1">
      <c r="A198" s="37">
        <v>199</v>
      </c>
      <c r="B198" s="38" t="s">
        <v>133</v>
      </c>
      <c r="C198" s="38" t="s">
        <v>226</v>
      </c>
      <c r="D198" s="38" t="s">
        <v>227</v>
      </c>
      <c r="E198" s="39"/>
      <c r="F198" s="40" t="s">
        <v>474</v>
      </c>
      <c r="G198" s="37">
        <v>199</v>
      </c>
      <c r="H198" s="64" t="s">
        <v>973</v>
      </c>
      <c r="I198" s="41" t="s">
        <v>1293</v>
      </c>
      <c r="J198" s="37">
        <v>199</v>
      </c>
    </row>
    <row r="199" spans="1:10" s="41" customFormat="1" ht="22.5" customHeight="1">
      <c r="A199" s="37">
        <v>200</v>
      </c>
      <c r="B199" s="38" t="s">
        <v>133</v>
      </c>
      <c r="C199" s="38" t="s">
        <v>323</v>
      </c>
      <c r="D199" s="38" t="s">
        <v>33</v>
      </c>
      <c r="E199" s="39"/>
      <c r="F199" s="40" t="s">
        <v>475</v>
      </c>
      <c r="G199" s="37">
        <v>200</v>
      </c>
      <c r="H199" s="64" t="s">
        <v>1002</v>
      </c>
      <c r="I199" s="41" t="s">
        <v>1513</v>
      </c>
      <c r="J199" s="37">
        <v>200</v>
      </c>
    </row>
    <row r="200" spans="1:10" s="41" customFormat="1" ht="22.5" customHeight="1">
      <c r="A200" s="37">
        <v>201</v>
      </c>
      <c r="B200" s="38" t="s">
        <v>133</v>
      </c>
      <c r="C200" s="38" t="s">
        <v>56</v>
      </c>
      <c r="D200" s="38" t="s">
        <v>324</v>
      </c>
      <c r="E200" s="39"/>
      <c r="F200" s="40" t="s">
        <v>476</v>
      </c>
      <c r="G200" s="37">
        <v>201</v>
      </c>
      <c r="H200" s="64" t="s">
        <v>603</v>
      </c>
      <c r="I200" s="41" t="s">
        <v>1514</v>
      </c>
      <c r="J200" s="37">
        <v>201</v>
      </c>
    </row>
    <row r="201" spans="1:10" s="41" customFormat="1" ht="22.5" customHeight="1">
      <c r="A201" s="37">
        <v>202</v>
      </c>
      <c r="B201" s="38" t="s">
        <v>133</v>
      </c>
      <c r="C201" s="38" t="s">
        <v>834</v>
      </c>
      <c r="D201" s="38" t="s">
        <v>262</v>
      </c>
      <c r="E201" s="39"/>
      <c r="F201" s="40" t="s">
        <v>835</v>
      </c>
      <c r="G201" s="37">
        <v>202</v>
      </c>
      <c r="H201" s="64" t="s">
        <v>1026</v>
      </c>
      <c r="I201" s="41" t="s">
        <v>1294</v>
      </c>
      <c r="J201" s="37">
        <v>202</v>
      </c>
    </row>
    <row r="202" spans="1:10" s="41" customFormat="1" ht="22.5" customHeight="1">
      <c r="A202" s="37">
        <v>203</v>
      </c>
      <c r="B202" s="38" t="s">
        <v>136</v>
      </c>
      <c r="C202" s="38" t="s">
        <v>325</v>
      </c>
      <c r="D202" s="38" t="s">
        <v>131</v>
      </c>
      <c r="E202" s="39"/>
      <c r="F202" s="40" t="s">
        <v>477</v>
      </c>
      <c r="G202" s="37">
        <v>203</v>
      </c>
      <c r="H202" s="64" t="s">
        <v>598</v>
      </c>
      <c r="I202" s="41" t="s">
        <v>1515</v>
      </c>
      <c r="J202" s="37">
        <v>203</v>
      </c>
    </row>
    <row r="203" spans="1:10" s="41" customFormat="1" ht="22.5" customHeight="1">
      <c r="A203" s="37">
        <v>204</v>
      </c>
      <c r="B203" s="38" t="s">
        <v>136</v>
      </c>
      <c r="C203" s="38" t="s">
        <v>232</v>
      </c>
      <c r="D203" s="38" t="s">
        <v>273</v>
      </c>
      <c r="E203" s="39"/>
      <c r="F203" s="40" t="s">
        <v>836</v>
      </c>
      <c r="G203" s="37">
        <v>204</v>
      </c>
      <c r="H203" s="64" t="s">
        <v>587</v>
      </c>
      <c r="I203" s="41" t="s">
        <v>1516</v>
      </c>
      <c r="J203" s="37">
        <v>204</v>
      </c>
    </row>
    <row r="204" spans="1:10" s="41" customFormat="1" ht="22.5" customHeight="1">
      <c r="A204" s="37">
        <v>205</v>
      </c>
      <c r="B204" s="38" t="s">
        <v>136</v>
      </c>
      <c r="C204" s="38" t="s">
        <v>326</v>
      </c>
      <c r="D204" s="38" t="s">
        <v>327</v>
      </c>
      <c r="E204" s="39"/>
      <c r="F204" s="40" t="s">
        <v>478</v>
      </c>
      <c r="G204" s="37">
        <v>205</v>
      </c>
      <c r="H204" s="64" t="s">
        <v>1398</v>
      </c>
      <c r="I204" s="41" t="s">
        <v>1517</v>
      </c>
      <c r="J204" s="37">
        <v>205</v>
      </c>
    </row>
    <row r="205" spans="1:10" s="41" customFormat="1" ht="22.5" customHeight="1">
      <c r="A205" s="37">
        <v>206</v>
      </c>
      <c r="B205" s="38" t="s">
        <v>136</v>
      </c>
      <c r="C205" s="38" t="s">
        <v>43</v>
      </c>
      <c r="D205" s="38" t="s">
        <v>99</v>
      </c>
      <c r="E205" s="39"/>
      <c r="F205" s="40" t="s">
        <v>837</v>
      </c>
      <c r="G205" s="37">
        <v>206</v>
      </c>
      <c r="H205" s="64" t="s">
        <v>596</v>
      </c>
      <c r="I205" s="41" t="s">
        <v>1295</v>
      </c>
      <c r="J205" s="37">
        <v>206</v>
      </c>
    </row>
    <row r="206" spans="1:10" s="41" customFormat="1" ht="22.5" customHeight="1">
      <c r="A206" s="37">
        <v>207</v>
      </c>
      <c r="B206" s="38" t="s">
        <v>136</v>
      </c>
      <c r="C206" s="38" t="s">
        <v>328</v>
      </c>
      <c r="D206" s="38" t="s">
        <v>20</v>
      </c>
      <c r="E206" s="39"/>
      <c r="F206" s="40" t="s">
        <v>479</v>
      </c>
      <c r="G206" s="37">
        <v>207</v>
      </c>
      <c r="H206" s="64" t="s">
        <v>603</v>
      </c>
      <c r="I206" s="41" t="s">
        <v>1296</v>
      </c>
      <c r="J206" s="37">
        <v>207</v>
      </c>
    </row>
    <row r="207" spans="1:10" s="41" customFormat="1" ht="22.5" customHeight="1">
      <c r="A207" s="37">
        <v>208</v>
      </c>
      <c r="B207" s="38" t="s">
        <v>136</v>
      </c>
      <c r="C207" s="38" t="s">
        <v>838</v>
      </c>
      <c r="D207" s="38" t="s">
        <v>839</v>
      </c>
      <c r="E207" s="39"/>
      <c r="F207" s="40" t="s">
        <v>840</v>
      </c>
      <c r="G207" s="37">
        <v>208</v>
      </c>
      <c r="H207" s="64" t="s">
        <v>975</v>
      </c>
      <c r="I207" s="41" t="s">
        <v>1297</v>
      </c>
      <c r="J207" s="37">
        <v>208</v>
      </c>
    </row>
    <row r="208" spans="1:10" s="41" customFormat="1" ht="22.5" customHeight="1">
      <c r="A208" s="37">
        <v>209</v>
      </c>
      <c r="B208" s="38" t="s">
        <v>136</v>
      </c>
      <c r="C208" s="38" t="s">
        <v>184</v>
      </c>
      <c r="D208" s="38" t="s">
        <v>329</v>
      </c>
      <c r="E208" s="39"/>
      <c r="F208" s="40" t="s">
        <v>480</v>
      </c>
      <c r="G208" s="37">
        <v>209</v>
      </c>
      <c r="H208" s="64" t="s">
        <v>591</v>
      </c>
      <c r="I208" s="41" t="s">
        <v>1298</v>
      </c>
      <c r="J208" s="37">
        <v>209</v>
      </c>
    </row>
    <row r="209" spans="1:10" s="41" customFormat="1" ht="22.5" customHeight="1">
      <c r="A209" s="37">
        <v>210</v>
      </c>
      <c r="B209" s="38" t="s">
        <v>136</v>
      </c>
      <c r="C209" s="38" t="s">
        <v>841</v>
      </c>
      <c r="D209" s="38" t="s">
        <v>842</v>
      </c>
      <c r="E209" s="39"/>
      <c r="F209" s="40" t="s">
        <v>843</v>
      </c>
      <c r="G209" s="37">
        <v>210</v>
      </c>
      <c r="H209" s="64" t="s">
        <v>587</v>
      </c>
      <c r="I209" s="41" t="s">
        <v>1299</v>
      </c>
      <c r="J209" s="37">
        <v>210</v>
      </c>
    </row>
    <row r="210" spans="1:10" s="41" customFormat="1" ht="22.5" customHeight="1">
      <c r="A210" s="37">
        <v>211</v>
      </c>
      <c r="B210" s="38" t="s">
        <v>136</v>
      </c>
      <c r="C210" s="38" t="s">
        <v>330</v>
      </c>
      <c r="D210" s="38" t="s">
        <v>16</v>
      </c>
      <c r="E210" s="39"/>
      <c r="F210" s="40" t="s">
        <v>481</v>
      </c>
      <c r="G210" s="37">
        <v>211</v>
      </c>
      <c r="H210" s="64" t="s">
        <v>587</v>
      </c>
      <c r="I210" s="41" t="s">
        <v>1300</v>
      </c>
      <c r="J210" s="37">
        <v>211</v>
      </c>
    </row>
    <row r="211" spans="1:10" s="41" customFormat="1" ht="22.5" customHeight="1">
      <c r="A211" s="37">
        <v>212</v>
      </c>
      <c r="B211" s="38" t="s">
        <v>136</v>
      </c>
      <c r="C211" s="38" t="s">
        <v>331</v>
      </c>
      <c r="D211" s="38" t="s">
        <v>332</v>
      </c>
      <c r="E211" s="39"/>
      <c r="F211" s="40" t="s">
        <v>482</v>
      </c>
      <c r="G211" s="37">
        <v>212</v>
      </c>
      <c r="H211" s="64" t="s">
        <v>598</v>
      </c>
      <c r="I211" s="41" t="s">
        <v>1301</v>
      </c>
      <c r="J211" s="37">
        <v>212</v>
      </c>
    </row>
    <row r="212" spans="1:10" s="41" customFormat="1" ht="22.5" customHeight="1">
      <c r="A212" s="37">
        <v>213</v>
      </c>
      <c r="B212" s="38" t="s">
        <v>138</v>
      </c>
      <c r="C212" s="38" t="s">
        <v>844</v>
      </c>
      <c r="D212" s="38" t="s">
        <v>340</v>
      </c>
      <c r="E212" s="39"/>
      <c r="F212" s="40" t="s">
        <v>845</v>
      </c>
      <c r="G212" s="37">
        <v>213</v>
      </c>
      <c r="H212" s="64" t="s">
        <v>994</v>
      </c>
      <c r="I212" s="41" t="s">
        <v>1302</v>
      </c>
      <c r="J212" s="37">
        <v>213</v>
      </c>
    </row>
    <row r="213" spans="1:10" s="41" customFormat="1" ht="22.5" customHeight="1">
      <c r="A213" s="37">
        <v>214</v>
      </c>
      <c r="B213" s="38" t="s">
        <v>138</v>
      </c>
      <c r="C213" s="38" t="s">
        <v>333</v>
      </c>
      <c r="D213" s="38" t="s">
        <v>334</v>
      </c>
      <c r="E213" s="39"/>
      <c r="F213" s="40" t="s">
        <v>483</v>
      </c>
      <c r="G213" s="37">
        <v>214</v>
      </c>
      <c r="H213" s="64" t="s">
        <v>587</v>
      </c>
      <c r="I213" s="41" t="s">
        <v>1303</v>
      </c>
      <c r="J213" s="37">
        <v>214</v>
      </c>
    </row>
    <row r="214" spans="1:10" s="41" customFormat="1" ht="22.5" customHeight="1">
      <c r="A214" s="37">
        <v>215</v>
      </c>
      <c r="B214" s="38" t="s">
        <v>138</v>
      </c>
      <c r="C214" s="38" t="s">
        <v>335</v>
      </c>
      <c r="D214" s="38" t="s">
        <v>16</v>
      </c>
      <c r="E214" s="39"/>
      <c r="F214" s="40" t="s">
        <v>484</v>
      </c>
      <c r="G214" s="37">
        <v>215</v>
      </c>
      <c r="H214" s="64" t="s">
        <v>596</v>
      </c>
      <c r="I214" s="41" t="s">
        <v>1304</v>
      </c>
      <c r="J214" s="37">
        <v>215</v>
      </c>
    </row>
    <row r="215" spans="1:10" s="41" customFormat="1" ht="22.5" customHeight="1">
      <c r="A215" s="37">
        <v>216</v>
      </c>
      <c r="B215" s="38" t="s">
        <v>140</v>
      </c>
      <c r="C215" s="38" t="s">
        <v>192</v>
      </c>
      <c r="D215" s="38" t="s">
        <v>16</v>
      </c>
      <c r="E215" s="39"/>
      <c r="F215" s="40" t="s">
        <v>846</v>
      </c>
      <c r="G215" s="37">
        <v>216</v>
      </c>
      <c r="H215" s="64" t="s">
        <v>1015</v>
      </c>
      <c r="I215" s="41" t="s">
        <v>1518</v>
      </c>
      <c r="J215" s="37">
        <v>216</v>
      </c>
    </row>
    <row r="216" spans="1:10" s="41" customFormat="1" ht="22.5" customHeight="1">
      <c r="A216" s="37">
        <v>217</v>
      </c>
      <c r="B216" s="38" t="s">
        <v>140</v>
      </c>
      <c r="C216" s="38" t="s">
        <v>141</v>
      </c>
      <c r="D216" s="38" t="s">
        <v>142</v>
      </c>
      <c r="E216" s="39"/>
      <c r="F216" s="40" t="s">
        <v>485</v>
      </c>
      <c r="G216" s="37">
        <v>217</v>
      </c>
      <c r="H216" s="64" t="s">
        <v>599</v>
      </c>
      <c r="I216" s="41" t="s">
        <v>1430</v>
      </c>
      <c r="J216" s="37">
        <v>217</v>
      </c>
    </row>
    <row r="217" spans="1:10" s="41" customFormat="1" ht="22.5" customHeight="1">
      <c r="A217" s="37">
        <v>218</v>
      </c>
      <c r="B217" s="38" t="s">
        <v>140</v>
      </c>
      <c r="C217" s="38" t="s">
        <v>847</v>
      </c>
      <c r="D217" s="38" t="s">
        <v>189</v>
      </c>
      <c r="E217" s="39"/>
      <c r="F217" s="40" t="s">
        <v>848</v>
      </c>
      <c r="G217" s="37">
        <v>218</v>
      </c>
      <c r="H217" s="64" t="s">
        <v>590</v>
      </c>
      <c r="I217" s="41" t="s">
        <v>1305</v>
      </c>
      <c r="J217" s="37">
        <v>218</v>
      </c>
    </row>
    <row r="218" spans="1:10" s="41" customFormat="1" ht="22.5" customHeight="1">
      <c r="A218" s="37">
        <v>219</v>
      </c>
      <c r="B218" s="38" t="s">
        <v>140</v>
      </c>
      <c r="C218" s="38" t="s">
        <v>336</v>
      </c>
      <c r="D218" s="38" t="s">
        <v>34</v>
      </c>
      <c r="E218" s="39"/>
      <c r="F218" s="40" t="s">
        <v>486</v>
      </c>
      <c r="G218" s="37">
        <v>219</v>
      </c>
      <c r="H218" s="64" t="s">
        <v>587</v>
      </c>
      <c r="I218" s="41" t="s">
        <v>1306</v>
      </c>
      <c r="J218" s="37">
        <v>219</v>
      </c>
    </row>
    <row r="219" spans="1:10" s="41" customFormat="1" ht="22.5" customHeight="1">
      <c r="A219" s="37">
        <v>220</v>
      </c>
      <c r="B219" s="38" t="s">
        <v>143</v>
      </c>
      <c r="C219" s="38" t="s">
        <v>24</v>
      </c>
      <c r="D219" s="38" t="s">
        <v>229</v>
      </c>
      <c r="E219" s="39"/>
      <c r="F219" s="40" t="s">
        <v>487</v>
      </c>
      <c r="G219" s="37">
        <v>220</v>
      </c>
      <c r="H219" s="64" t="s">
        <v>596</v>
      </c>
      <c r="I219" s="41" t="s">
        <v>1519</v>
      </c>
      <c r="J219" s="37">
        <v>220</v>
      </c>
    </row>
    <row r="220" spans="1:10" s="41" customFormat="1" ht="22.5" customHeight="1">
      <c r="A220" s="37">
        <v>221</v>
      </c>
      <c r="B220" s="38" t="s">
        <v>143</v>
      </c>
      <c r="C220" s="38" t="s">
        <v>337</v>
      </c>
      <c r="D220" s="38" t="s">
        <v>72</v>
      </c>
      <c r="E220" s="39"/>
      <c r="F220" s="40" t="s">
        <v>488</v>
      </c>
      <c r="G220" s="37">
        <v>221</v>
      </c>
      <c r="H220" s="64" t="s">
        <v>1399</v>
      </c>
      <c r="I220" s="41" t="s">
        <v>1520</v>
      </c>
      <c r="J220" s="37">
        <v>221</v>
      </c>
    </row>
    <row r="221" spans="1:10" s="41" customFormat="1" ht="22.5" customHeight="1">
      <c r="A221" s="37">
        <v>222</v>
      </c>
      <c r="B221" s="38" t="s">
        <v>143</v>
      </c>
      <c r="C221" s="38" t="s">
        <v>338</v>
      </c>
      <c r="D221" s="38" t="s">
        <v>46</v>
      </c>
      <c r="E221" s="39"/>
      <c r="F221" s="40" t="s">
        <v>489</v>
      </c>
      <c r="G221" s="37">
        <v>222</v>
      </c>
      <c r="H221" s="64" t="s">
        <v>587</v>
      </c>
      <c r="I221" s="41" t="s">
        <v>1521</v>
      </c>
      <c r="J221" s="37">
        <v>222</v>
      </c>
    </row>
    <row r="222" spans="1:10" s="41" customFormat="1" ht="22.5" customHeight="1">
      <c r="A222" s="37">
        <v>223</v>
      </c>
      <c r="B222" s="38" t="s">
        <v>143</v>
      </c>
      <c r="C222" s="38" t="s">
        <v>849</v>
      </c>
      <c r="D222" s="38" t="s">
        <v>850</v>
      </c>
      <c r="E222" s="39"/>
      <c r="F222" s="40" t="s">
        <v>851</v>
      </c>
      <c r="G222" s="37">
        <v>223</v>
      </c>
      <c r="H222" s="64" t="s">
        <v>1400</v>
      </c>
      <c r="I222" s="41" t="s">
        <v>1431</v>
      </c>
      <c r="J222" s="37">
        <v>223</v>
      </c>
    </row>
    <row r="223" spans="1:10" s="41" customFormat="1" ht="22.5" customHeight="1">
      <c r="A223" s="37">
        <v>224</v>
      </c>
      <c r="B223" s="38" t="s">
        <v>143</v>
      </c>
      <c r="C223" s="38" t="s">
        <v>266</v>
      </c>
      <c r="D223" s="38" t="s">
        <v>40</v>
      </c>
      <c r="E223" s="39"/>
      <c r="F223" s="40" t="s">
        <v>852</v>
      </c>
      <c r="G223" s="37">
        <v>224</v>
      </c>
      <c r="H223" s="64" t="s">
        <v>587</v>
      </c>
      <c r="I223" s="41" t="s">
        <v>1522</v>
      </c>
      <c r="J223" s="37">
        <v>224</v>
      </c>
    </row>
    <row r="224" spans="1:10" s="41" customFormat="1" ht="22.5" customHeight="1">
      <c r="A224" s="37">
        <v>225</v>
      </c>
      <c r="B224" s="38" t="s">
        <v>144</v>
      </c>
      <c r="C224" s="38" t="s">
        <v>853</v>
      </c>
      <c r="D224" s="38" t="s">
        <v>193</v>
      </c>
      <c r="E224" s="39"/>
      <c r="F224" s="40" t="s">
        <v>854</v>
      </c>
      <c r="G224" s="37">
        <v>225</v>
      </c>
      <c r="H224" s="64" t="s">
        <v>996</v>
      </c>
      <c r="I224" s="41" t="s">
        <v>1307</v>
      </c>
      <c r="J224" s="37">
        <v>225</v>
      </c>
    </row>
    <row r="225" spans="1:10" s="41" customFormat="1" ht="22.5" customHeight="1">
      <c r="A225" s="37">
        <v>226</v>
      </c>
      <c r="B225" s="38" t="s">
        <v>144</v>
      </c>
      <c r="C225" s="38" t="s">
        <v>855</v>
      </c>
      <c r="D225" s="38" t="s">
        <v>856</v>
      </c>
      <c r="E225" s="39"/>
      <c r="F225" s="40" t="s">
        <v>857</v>
      </c>
      <c r="G225" s="37">
        <v>226</v>
      </c>
      <c r="H225" s="64" t="s">
        <v>1401</v>
      </c>
      <c r="I225" s="41" t="s">
        <v>1308</v>
      </c>
      <c r="J225" s="37">
        <v>226</v>
      </c>
    </row>
    <row r="226" spans="1:10" s="41" customFormat="1" ht="22.5" customHeight="1">
      <c r="A226" s="37">
        <v>227</v>
      </c>
      <c r="B226" s="38" t="s">
        <v>146</v>
      </c>
      <c r="C226" s="38" t="s">
        <v>117</v>
      </c>
      <c r="D226" s="38" t="s">
        <v>224</v>
      </c>
      <c r="E226" s="39"/>
      <c r="F226" s="40" t="s">
        <v>858</v>
      </c>
      <c r="G226" s="37">
        <v>227</v>
      </c>
      <c r="H226" s="64" t="s">
        <v>1402</v>
      </c>
      <c r="I226" s="41" t="s">
        <v>1548</v>
      </c>
      <c r="J226" s="37">
        <v>227</v>
      </c>
    </row>
    <row r="227" spans="1:10" s="41" customFormat="1" ht="22.5" customHeight="1">
      <c r="A227" s="37">
        <v>228</v>
      </c>
      <c r="B227" s="38" t="s">
        <v>146</v>
      </c>
      <c r="C227" s="38" t="s">
        <v>859</v>
      </c>
      <c r="D227" s="38" t="s">
        <v>647</v>
      </c>
      <c r="E227" s="39"/>
      <c r="F227" s="40" t="s">
        <v>860</v>
      </c>
      <c r="G227" s="37">
        <v>228</v>
      </c>
      <c r="H227" s="64" t="s">
        <v>1026</v>
      </c>
      <c r="I227" s="41" t="s">
        <v>1309</v>
      </c>
      <c r="J227" s="37">
        <v>228</v>
      </c>
    </row>
    <row r="228" spans="1:10" s="41" customFormat="1" ht="22.5" customHeight="1">
      <c r="A228" s="37">
        <v>229</v>
      </c>
      <c r="B228" s="38" t="s">
        <v>146</v>
      </c>
      <c r="C228" s="38" t="s">
        <v>266</v>
      </c>
      <c r="D228" s="38" t="s">
        <v>341</v>
      </c>
      <c r="E228" s="39"/>
      <c r="F228" s="40" t="s">
        <v>491</v>
      </c>
      <c r="G228" s="37">
        <v>229</v>
      </c>
      <c r="H228" s="64" t="s">
        <v>989</v>
      </c>
      <c r="I228" s="41" t="s">
        <v>1310</v>
      </c>
      <c r="J228" s="37">
        <v>229</v>
      </c>
    </row>
    <row r="229" spans="1:10" s="41" customFormat="1" ht="22.5" customHeight="1">
      <c r="A229" s="37">
        <v>230</v>
      </c>
      <c r="B229" s="38" t="s">
        <v>146</v>
      </c>
      <c r="C229" s="38" t="s">
        <v>342</v>
      </c>
      <c r="D229" s="38" t="s">
        <v>343</v>
      </c>
      <c r="E229" s="39"/>
      <c r="F229" s="40" t="s">
        <v>492</v>
      </c>
      <c r="G229" s="37">
        <v>230</v>
      </c>
      <c r="H229" s="64" t="s">
        <v>990</v>
      </c>
      <c r="I229" s="41" t="s">
        <v>1311</v>
      </c>
      <c r="J229" s="37">
        <v>230</v>
      </c>
    </row>
    <row r="230" spans="1:10" s="41" customFormat="1" ht="22.5" customHeight="1">
      <c r="A230" s="37">
        <v>231</v>
      </c>
      <c r="B230" s="38" t="s">
        <v>147</v>
      </c>
      <c r="C230" s="38" t="s">
        <v>145</v>
      </c>
      <c r="D230" s="38" t="s">
        <v>861</v>
      </c>
      <c r="E230" s="39"/>
      <c r="F230" s="40" t="s">
        <v>862</v>
      </c>
      <c r="G230" s="37">
        <v>231</v>
      </c>
      <c r="H230" s="64" t="s">
        <v>1403</v>
      </c>
      <c r="I230" s="41" t="s">
        <v>1312</v>
      </c>
      <c r="J230" s="37">
        <v>231</v>
      </c>
    </row>
    <row r="231" spans="1:10" s="41" customFormat="1" ht="22.5" customHeight="1">
      <c r="A231" s="37">
        <v>232</v>
      </c>
      <c r="B231" s="38" t="s">
        <v>147</v>
      </c>
      <c r="C231" s="38" t="s">
        <v>863</v>
      </c>
      <c r="D231" s="38" t="s">
        <v>864</v>
      </c>
      <c r="E231" s="39"/>
      <c r="F231" s="40" t="s">
        <v>865</v>
      </c>
      <c r="G231" s="37">
        <v>232</v>
      </c>
      <c r="H231" s="64" t="s">
        <v>1404</v>
      </c>
      <c r="I231" s="41" t="s">
        <v>1523</v>
      </c>
      <c r="J231" s="37">
        <v>232</v>
      </c>
    </row>
    <row r="232" spans="1:10" s="41" customFormat="1" ht="22.5" customHeight="1">
      <c r="A232" s="37">
        <v>233</v>
      </c>
      <c r="B232" s="38" t="s">
        <v>148</v>
      </c>
      <c r="C232" s="38" t="s">
        <v>94</v>
      </c>
      <c r="D232" s="38" t="s">
        <v>51</v>
      </c>
      <c r="E232" s="39"/>
      <c r="F232" s="40" t="s">
        <v>493</v>
      </c>
      <c r="G232" s="37">
        <v>233</v>
      </c>
      <c r="H232" s="64" t="s">
        <v>975</v>
      </c>
      <c r="I232" s="41" t="s">
        <v>1313</v>
      </c>
      <c r="J232" s="37">
        <v>233</v>
      </c>
    </row>
    <row r="233" spans="1:10" s="41" customFormat="1" ht="22.5" customHeight="1">
      <c r="A233" s="37">
        <v>234</v>
      </c>
      <c r="B233" s="38" t="s">
        <v>149</v>
      </c>
      <c r="C233" s="38" t="s">
        <v>27</v>
      </c>
      <c r="D233" s="38" t="s">
        <v>100</v>
      </c>
      <c r="E233" s="39"/>
      <c r="F233" s="40" t="s">
        <v>494</v>
      </c>
      <c r="G233" s="37">
        <v>234</v>
      </c>
      <c r="H233" s="64" t="s">
        <v>599</v>
      </c>
      <c r="I233" s="41" t="s">
        <v>1314</v>
      </c>
      <c r="J233" s="37">
        <v>234</v>
      </c>
    </row>
    <row r="234" spans="1:10" s="41" customFormat="1" ht="22.5" customHeight="1">
      <c r="A234" s="37">
        <v>235</v>
      </c>
      <c r="B234" s="38" t="s">
        <v>149</v>
      </c>
      <c r="C234" s="38" t="s">
        <v>866</v>
      </c>
      <c r="D234" s="38" t="s">
        <v>867</v>
      </c>
      <c r="E234" s="39"/>
      <c r="F234" s="40" t="s">
        <v>868</v>
      </c>
      <c r="G234" s="37">
        <v>235</v>
      </c>
      <c r="H234" s="64" t="s">
        <v>991</v>
      </c>
      <c r="I234" s="41" t="s">
        <v>1315</v>
      </c>
      <c r="J234" s="37">
        <v>235</v>
      </c>
    </row>
    <row r="235" spans="1:10" s="41" customFormat="1" ht="22.5" customHeight="1">
      <c r="A235" s="37">
        <v>236</v>
      </c>
      <c r="B235" s="38" t="s">
        <v>150</v>
      </c>
      <c r="C235" s="38" t="s">
        <v>869</v>
      </c>
      <c r="D235" s="38" t="s">
        <v>667</v>
      </c>
      <c r="E235" s="39"/>
      <c r="F235" s="40" t="s">
        <v>870</v>
      </c>
      <c r="G235" s="37">
        <v>236</v>
      </c>
      <c r="H235" s="64" t="s">
        <v>979</v>
      </c>
      <c r="I235" s="41" t="s">
        <v>1316</v>
      </c>
      <c r="J235" s="37">
        <v>236</v>
      </c>
    </row>
    <row r="236" spans="1:10" s="41" customFormat="1" ht="22.5" customHeight="1">
      <c r="A236" s="37">
        <v>237</v>
      </c>
      <c r="B236" s="38" t="s">
        <v>150</v>
      </c>
      <c r="C236" s="38" t="s">
        <v>871</v>
      </c>
      <c r="D236" s="38" t="s">
        <v>359</v>
      </c>
      <c r="E236" s="39"/>
      <c r="F236" s="40" t="s">
        <v>872</v>
      </c>
      <c r="G236" s="37">
        <v>237</v>
      </c>
      <c r="H236" s="64" t="s">
        <v>599</v>
      </c>
      <c r="I236" s="41" t="s">
        <v>1317</v>
      </c>
      <c r="J236" s="37">
        <v>237</v>
      </c>
    </row>
    <row r="237" spans="1:10" s="41" customFormat="1" ht="22.5" customHeight="1">
      <c r="A237" s="37">
        <v>238</v>
      </c>
      <c r="B237" s="38" t="s">
        <v>139</v>
      </c>
      <c r="C237" s="38" t="s">
        <v>249</v>
      </c>
      <c r="D237" s="38" t="s">
        <v>61</v>
      </c>
      <c r="E237" s="39"/>
      <c r="F237" s="40" t="s">
        <v>495</v>
      </c>
      <c r="G237" s="37">
        <v>238</v>
      </c>
      <c r="H237" s="64" t="s">
        <v>600</v>
      </c>
      <c r="I237" s="41" t="s">
        <v>1318</v>
      </c>
      <c r="J237" s="37">
        <v>238</v>
      </c>
    </row>
    <row r="238" spans="1:10" s="41" customFormat="1" ht="22.5" customHeight="1">
      <c r="A238" s="37">
        <v>239</v>
      </c>
      <c r="B238" s="38" t="s">
        <v>139</v>
      </c>
      <c r="C238" s="38" t="s">
        <v>346</v>
      </c>
      <c r="D238" s="38" t="s">
        <v>347</v>
      </c>
      <c r="E238" s="39"/>
      <c r="F238" s="40" t="s">
        <v>497</v>
      </c>
      <c r="G238" s="37">
        <v>239</v>
      </c>
      <c r="H238" s="64" t="s">
        <v>1405</v>
      </c>
      <c r="I238" s="41" t="s">
        <v>1319</v>
      </c>
      <c r="J238" s="37">
        <v>239</v>
      </c>
    </row>
    <row r="239" spans="1:10" s="41" customFormat="1" ht="22.5" customHeight="1">
      <c r="A239" s="37">
        <v>240</v>
      </c>
      <c r="B239" s="38" t="s">
        <v>139</v>
      </c>
      <c r="C239" s="38" t="s">
        <v>873</v>
      </c>
      <c r="D239" s="38" t="s">
        <v>874</v>
      </c>
      <c r="E239" s="39"/>
      <c r="F239" s="40" t="s">
        <v>875</v>
      </c>
      <c r="G239" s="37">
        <v>240</v>
      </c>
      <c r="H239" s="64" t="s">
        <v>598</v>
      </c>
      <c r="I239" s="41" t="s">
        <v>1320</v>
      </c>
      <c r="J239" s="37">
        <v>240</v>
      </c>
    </row>
    <row r="240" spans="1:10" s="41" customFormat="1" ht="22.5" customHeight="1">
      <c r="A240" s="37">
        <v>241</v>
      </c>
      <c r="B240" s="38" t="s">
        <v>151</v>
      </c>
      <c r="C240" s="38" t="s">
        <v>348</v>
      </c>
      <c r="D240" s="38" t="s">
        <v>349</v>
      </c>
      <c r="E240" s="39"/>
      <c r="F240" s="40" t="s">
        <v>498</v>
      </c>
      <c r="G240" s="37">
        <v>241</v>
      </c>
      <c r="H240" s="64" t="s">
        <v>594</v>
      </c>
      <c r="I240" s="41" t="s">
        <v>1321</v>
      </c>
      <c r="J240" s="37">
        <v>241</v>
      </c>
    </row>
    <row r="241" spans="1:10" s="41" customFormat="1" ht="22.5" customHeight="1">
      <c r="A241" s="37">
        <v>242</v>
      </c>
      <c r="B241" s="38" t="s">
        <v>151</v>
      </c>
      <c r="C241" s="38" t="s">
        <v>25</v>
      </c>
      <c r="D241" s="38" t="s">
        <v>46</v>
      </c>
      <c r="E241" s="39"/>
      <c r="F241" s="40" t="s">
        <v>876</v>
      </c>
      <c r="G241" s="37">
        <v>242</v>
      </c>
      <c r="H241" s="64" t="s">
        <v>972</v>
      </c>
      <c r="I241" s="41" t="s">
        <v>1322</v>
      </c>
      <c r="J241" s="37">
        <v>242</v>
      </c>
    </row>
    <row r="242" spans="1:10" s="41" customFormat="1" ht="22.5" customHeight="1">
      <c r="A242" s="37">
        <v>243</v>
      </c>
      <c r="B242" s="38" t="s">
        <v>152</v>
      </c>
      <c r="C242" s="38" t="s">
        <v>195</v>
      </c>
      <c r="D242" s="38" t="s">
        <v>877</v>
      </c>
      <c r="E242" s="39"/>
      <c r="F242" s="40" t="s">
        <v>878</v>
      </c>
      <c r="G242" s="37">
        <v>243</v>
      </c>
      <c r="H242" s="64" t="s">
        <v>1033</v>
      </c>
      <c r="I242" s="41" t="s">
        <v>1323</v>
      </c>
      <c r="J242" s="37">
        <v>243</v>
      </c>
    </row>
    <row r="243" spans="1:10" s="41" customFormat="1" ht="22.5" customHeight="1">
      <c r="A243" s="37">
        <v>244</v>
      </c>
      <c r="B243" s="38" t="s">
        <v>152</v>
      </c>
      <c r="C243" s="38" t="s">
        <v>203</v>
      </c>
      <c r="D243" s="38" t="s">
        <v>204</v>
      </c>
      <c r="E243" s="39"/>
      <c r="F243" s="40" t="s">
        <v>499</v>
      </c>
      <c r="G243" s="37">
        <v>244</v>
      </c>
      <c r="H243" s="64" t="s">
        <v>994</v>
      </c>
      <c r="I243" s="41" t="s">
        <v>1524</v>
      </c>
      <c r="J243" s="37">
        <v>244</v>
      </c>
    </row>
    <row r="244" spans="1:10" s="41" customFormat="1" ht="22.5" customHeight="1">
      <c r="A244" s="37">
        <v>245</v>
      </c>
      <c r="B244" s="38" t="s">
        <v>152</v>
      </c>
      <c r="C244" s="38" t="s">
        <v>109</v>
      </c>
      <c r="D244" s="38" t="s">
        <v>110</v>
      </c>
      <c r="E244" s="39"/>
      <c r="F244" s="40" t="s">
        <v>454</v>
      </c>
      <c r="G244" s="37">
        <v>245</v>
      </c>
      <c r="H244" s="64" t="s">
        <v>587</v>
      </c>
      <c r="I244" s="41" t="s">
        <v>1525</v>
      </c>
      <c r="J244" s="37">
        <v>245</v>
      </c>
    </row>
    <row r="245" spans="1:10" s="41" customFormat="1" ht="22.5" customHeight="1">
      <c r="A245" s="37">
        <v>246</v>
      </c>
      <c r="B245" s="38" t="s">
        <v>153</v>
      </c>
      <c r="C245" s="38" t="s">
        <v>879</v>
      </c>
      <c r="D245" s="38" t="s">
        <v>353</v>
      </c>
      <c r="E245" s="39"/>
      <c r="F245" s="40" t="s">
        <v>880</v>
      </c>
      <c r="G245" s="37">
        <v>246</v>
      </c>
      <c r="H245" s="64" t="s">
        <v>1028</v>
      </c>
      <c r="I245" s="41" t="s">
        <v>1324</v>
      </c>
      <c r="J245" s="37">
        <v>246</v>
      </c>
    </row>
    <row r="246" spans="1:10" s="41" customFormat="1" ht="22.5" customHeight="1">
      <c r="A246" s="37">
        <v>247</v>
      </c>
      <c r="B246" s="38" t="s">
        <v>153</v>
      </c>
      <c r="C246" s="38" t="s">
        <v>881</v>
      </c>
      <c r="D246" s="38" t="s">
        <v>882</v>
      </c>
      <c r="E246" s="39"/>
      <c r="F246" s="40" t="s">
        <v>883</v>
      </c>
      <c r="G246" s="37">
        <v>247</v>
      </c>
      <c r="H246" s="64" t="s">
        <v>1406</v>
      </c>
      <c r="I246" s="41" t="s">
        <v>1526</v>
      </c>
      <c r="J246" s="37">
        <v>247</v>
      </c>
    </row>
    <row r="247" spans="1:10" s="41" customFormat="1" ht="22.5" customHeight="1">
      <c r="A247" s="37">
        <v>248</v>
      </c>
      <c r="B247" s="38" t="s">
        <v>153</v>
      </c>
      <c r="C247" s="38" t="s">
        <v>350</v>
      </c>
      <c r="D247" s="38" t="s">
        <v>89</v>
      </c>
      <c r="E247" s="39"/>
      <c r="F247" s="40" t="s">
        <v>500</v>
      </c>
      <c r="G247" s="37">
        <v>248</v>
      </c>
      <c r="H247" s="64" t="s">
        <v>975</v>
      </c>
      <c r="I247" s="41" t="s">
        <v>1325</v>
      </c>
      <c r="J247" s="37">
        <v>248</v>
      </c>
    </row>
    <row r="248" spans="1:10" s="41" customFormat="1" ht="22.5" customHeight="1">
      <c r="A248" s="37">
        <v>249</v>
      </c>
      <c r="B248" s="38" t="s">
        <v>153</v>
      </c>
      <c r="C248" s="38" t="s">
        <v>230</v>
      </c>
      <c r="D248" s="38" t="s">
        <v>79</v>
      </c>
      <c r="E248" s="39"/>
      <c r="F248" s="40" t="s">
        <v>501</v>
      </c>
      <c r="G248" s="37">
        <v>249</v>
      </c>
      <c r="H248" s="64" t="s">
        <v>587</v>
      </c>
      <c r="I248" s="41" t="s">
        <v>1527</v>
      </c>
      <c r="J248" s="37">
        <v>249</v>
      </c>
    </row>
    <row r="249" spans="1:10" s="41" customFormat="1" ht="22.5" customHeight="1">
      <c r="A249" s="37">
        <v>250</v>
      </c>
      <c r="B249" s="38" t="s">
        <v>154</v>
      </c>
      <c r="C249" s="38" t="s">
        <v>351</v>
      </c>
      <c r="D249" s="38" t="s">
        <v>16</v>
      </c>
      <c r="E249" s="39"/>
      <c r="F249" s="40" t="s">
        <v>502</v>
      </c>
      <c r="G249" s="37">
        <v>250</v>
      </c>
      <c r="H249" s="64" t="s">
        <v>598</v>
      </c>
      <c r="I249" s="41" t="s">
        <v>1528</v>
      </c>
      <c r="J249" s="37">
        <v>250</v>
      </c>
    </row>
    <row r="250" spans="1:10" s="41" customFormat="1" ht="22.5" customHeight="1">
      <c r="A250" s="37">
        <v>251</v>
      </c>
      <c r="B250" s="38" t="s">
        <v>154</v>
      </c>
      <c r="C250" s="38" t="s">
        <v>352</v>
      </c>
      <c r="D250" s="38" t="s">
        <v>353</v>
      </c>
      <c r="E250" s="39"/>
      <c r="F250" s="40" t="s">
        <v>503</v>
      </c>
      <c r="G250" s="37">
        <v>251</v>
      </c>
      <c r="H250" s="64" t="s">
        <v>1407</v>
      </c>
      <c r="I250" s="41" t="s">
        <v>1529</v>
      </c>
      <c r="J250" s="37">
        <v>251</v>
      </c>
    </row>
    <row r="251" spans="1:10" s="41" customFormat="1" ht="22.5" customHeight="1">
      <c r="A251" s="37">
        <v>252</v>
      </c>
      <c r="B251" s="38" t="s">
        <v>154</v>
      </c>
      <c r="C251" s="38" t="s">
        <v>354</v>
      </c>
      <c r="D251" s="38" t="s">
        <v>99</v>
      </c>
      <c r="E251" s="39"/>
      <c r="F251" s="40" t="s">
        <v>505</v>
      </c>
      <c r="G251" s="37">
        <v>252</v>
      </c>
      <c r="H251" s="64" t="s">
        <v>587</v>
      </c>
      <c r="I251" s="41" t="s">
        <v>1326</v>
      </c>
      <c r="J251" s="37">
        <v>252</v>
      </c>
    </row>
    <row r="252" spans="1:10" s="41" customFormat="1" ht="22.5" customHeight="1">
      <c r="A252" s="37">
        <v>253</v>
      </c>
      <c r="B252" s="38" t="s">
        <v>154</v>
      </c>
      <c r="C252" s="38" t="s">
        <v>355</v>
      </c>
      <c r="D252" s="38" t="s">
        <v>107</v>
      </c>
      <c r="E252" s="39"/>
      <c r="F252" s="40" t="s">
        <v>506</v>
      </c>
      <c r="G252" s="37">
        <v>253</v>
      </c>
      <c r="H252" s="64" t="s">
        <v>978</v>
      </c>
      <c r="I252" s="41" t="s">
        <v>1327</v>
      </c>
      <c r="J252" s="37">
        <v>253</v>
      </c>
    </row>
    <row r="253" spans="1:10" s="41" customFormat="1" ht="22.5" customHeight="1">
      <c r="A253" s="37">
        <v>254</v>
      </c>
      <c r="B253" s="38" t="s">
        <v>154</v>
      </c>
      <c r="C253" s="38" t="s">
        <v>56</v>
      </c>
      <c r="D253" s="38" t="s">
        <v>884</v>
      </c>
      <c r="E253" s="39"/>
      <c r="F253" s="40" t="s">
        <v>885</v>
      </c>
      <c r="G253" s="37">
        <v>254</v>
      </c>
      <c r="H253" s="64" t="s">
        <v>994</v>
      </c>
      <c r="I253" s="41" t="s">
        <v>1530</v>
      </c>
      <c r="J253" s="37">
        <v>254</v>
      </c>
    </row>
    <row r="254" spans="1:10" s="41" customFormat="1" ht="22.5" customHeight="1">
      <c r="A254" s="37">
        <v>255</v>
      </c>
      <c r="B254" s="38" t="s">
        <v>156</v>
      </c>
      <c r="C254" s="38" t="s">
        <v>886</v>
      </c>
      <c r="D254" s="38" t="s">
        <v>76</v>
      </c>
      <c r="E254" s="39"/>
      <c r="F254" s="40" t="s">
        <v>887</v>
      </c>
      <c r="G254" s="37">
        <v>255</v>
      </c>
      <c r="H254" s="64" t="s">
        <v>1408</v>
      </c>
      <c r="I254" s="41" t="s">
        <v>1328</v>
      </c>
      <c r="J254" s="37">
        <v>255</v>
      </c>
    </row>
    <row r="255" spans="1:10" s="41" customFormat="1" ht="22.5" customHeight="1">
      <c r="A255" s="37">
        <v>256</v>
      </c>
      <c r="B255" s="38" t="s">
        <v>157</v>
      </c>
      <c r="C255" s="38" t="s">
        <v>357</v>
      </c>
      <c r="D255" s="38" t="s">
        <v>358</v>
      </c>
      <c r="E255" s="39"/>
      <c r="F255" s="40" t="s">
        <v>507</v>
      </c>
      <c r="G255" s="37">
        <v>256</v>
      </c>
      <c r="H255" s="64" t="s">
        <v>1019</v>
      </c>
      <c r="I255" s="41" t="s">
        <v>1329</v>
      </c>
      <c r="J255" s="37">
        <v>256</v>
      </c>
    </row>
    <row r="256" spans="1:10" s="41" customFormat="1" ht="22.5" customHeight="1">
      <c r="A256" s="37">
        <v>257</v>
      </c>
      <c r="B256" s="38" t="s">
        <v>158</v>
      </c>
      <c r="C256" s="38" t="s">
        <v>294</v>
      </c>
      <c r="D256" s="38" t="s">
        <v>888</v>
      </c>
      <c r="E256" s="39"/>
      <c r="F256" s="40" t="s">
        <v>889</v>
      </c>
      <c r="G256" s="37">
        <v>257</v>
      </c>
      <c r="H256" s="64" t="s">
        <v>602</v>
      </c>
      <c r="I256" s="41" t="s">
        <v>1330</v>
      </c>
      <c r="J256" s="37">
        <v>257</v>
      </c>
    </row>
    <row r="257" spans="1:10" s="41" customFormat="1" ht="22.5" customHeight="1">
      <c r="A257" s="37">
        <v>258</v>
      </c>
      <c r="B257" s="38" t="s">
        <v>158</v>
      </c>
      <c r="C257" s="38" t="s">
        <v>360</v>
      </c>
      <c r="D257" s="38" t="s">
        <v>361</v>
      </c>
      <c r="E257" s="39"/>
      <c r="F257" s="40" t="s">
        <v>508</v>
      </c>
      <c r="G257" s="37">
        <v>258</v>
      </c>
      <c r="H257" s="64" t="s">
        <v>604</v>
      </c>
      <c r="I257" s="41" t="s">
        <v>1331</v>
      </c>
      <c r="J257" s="37">
        <v>258</v>
      </c>
    </row>
    <row r="258" spans="1:10" s="41" customFormat="1" ht="22.5" customHeight="1">
      <c r="A258" s="37">
        <v>259</v>
      </c>
      <c r="B258" s="38" t="s">
        <v>158</v>
      </c>
      <c r="C258" s="38" t="s">
        <v>56</v>
      </c>
      <c r="D258" s="38" t="s">
        <v>190</v>
      </c>
      <c r="E258" s="39"/>
      <c r="F258" s="40" t="s">
        <v>509</v>
      </c>
      <c r="G258" s="37">
        <v>259</v>
      </c>
      <c r="H258" s="64" t="s">
        <v>1354</v>
      </c>
      <c r="I258" s="41" t="s">
        <v>1531</v>
      </c>
      <c r="J258" s="37">
        <v>259</v>
      </c>
    </row>
    <row r="259" spans="1:10" s="41" customFormat="1" ht="22.5" customHeight="1">
      <c r="A259" s="37">
        <v>260</v>
      </c>
      <c r="B259" s="38" t="s">
        <v>159</v>
      </c>
      <c r="C259" s="38" t="s">
        <v>890</v>
      </c>
      <c r="D259" s="38" t="s">
        <v>891</v>
      </c>
      <c r="E259" s="39"/>
      <c r="F259" s="40" t="s">
        <v>892</v>
      </c>
      <c r="G259" s="37">
        <v>260</v>
      </c>
      <c r="H259" s="64" t="s">
        <v>599</v>
      </c>
      <c r="I259" s="41" t="s">
        <v>1332</v>
      </c>
      <c r="J259" s="37">
        <v>260</v>
      </c>
    </row>
    <row r="260" spans="1:10" s="41" customFormat="1" ht="22.5" customHeight="1">
      <c r="A260" s="37">
        <v>261</v>
      </c>
      <c r="B260" s="38" t="s">
        <v>159</v>
      </c>
      <c r="C260" s="38" t="s">
        <v>893</v>
      </c>
      <c r="D260" s="38" t="s">
        <v>16</v>
      </c>
      <c r="E260" s="39"/>
      <c r="F260" s="40" t="s">
        <v>894</v>
      </c>
      <c r="G260" s="37">
        <v>261</v>
      </c>
      <c r="H260" s="64" t="s">
        <v>589</v>
      </c>
      <c r="I260" s="41" t="s">
        <v>1333</v>
      </c>
      <c r="J260" s="37">
        <v>261</v>
      </c>
    </row>
    <row r="261" spans="1:10" s="41" customFormat="1" ht="22.5" customHeight="1">
      <c r="A261" s="37">
        <v>262</v>
      </c>
      <c r="B261" s="38" t="s">
        <v>159</v>
      </c>
      <c r="C261" s="38" t="s">
        <v>362</v>
      </c>
      <c r="D261" s="38" t="s">
        <v>40</v>
      </c>
      <c r="E261" s="39"/>
      <c r="F261" s="40" t="s">
        <v>510</v>
      </c>
      <c r="G261" s="37">
        <v>262</v>
      </c>
      <c r="H261" s="64" t="s">
        <v>595</v>
      </c>
      <c r="I261" s="41" t="s">
        <v>1334</v>
      </c>
      <c r="J261" s="37">
        <v>262</v>
      </c>
    </row>
    <row r="262" spans="1:10" s="41" customFormat="1" ht="22.5" customHeight="1">
      <c r="A262" s="37">
        <v>263</v>
      </c>
      <c r="B262" s="38" t="s">
        <v>159</v>
      </c>
      <c r="C262" s="38" t="s">
        <v>363</v>
      </c>
      <c r="D262" s="38" t="s">
        <v>364</v>
      </c>
      <c r="E262" s="39"/>
      <c r="F262" s="40" t="s">
        <v>895</v>
      </c>
      <c r="G262" s="37">
        <v>263</v>
      </c>
      <c r="H262" s="64" t="s">
        <v>598</v>
      </c>
      <c r="I262" s="41" t="s">
        <v>1532</v>
      </c>
      <c r="J262" s="37">
        <v>263</v>
      </c>
    </row>
    <row r="263" spans="1:10" s="41" customFormat="1" ht="22.5" customHeight="1">
      <c r="A263" s="37">
        <v>264</v>
      </c>
      <c r="B263" s="38" t="s">
        <v>159</v>
      </c>
      <c r="C263" s="38" t="s">
        <v>161</v>
      </c>
      <c r="D263" s="38" t="s">
        <v>233</v>
      </c>
      <c r="E263" s="39"/>
      <c r="F263" s="40" t="s">
        <v>523</v>
      </c>
      <c r="G263" s="37">
        <v>264</v>
      </c>
      <c r="H263" s="64" t="s">
        <v>1409</v>
      </c>
      <c r="I263" s="41" t="s">
        <v>1533</v>
      </c>
      <c r="J263" s="37">
        <v>264</v>
      </c>
    </row>
    <row r="264" spans="1:10" s="41" customFormat="1" ht="22.5" customHeight="1">
      <c r="A264" s="37">
        <v>265</v>
      </c>
      <c r="B264" s="38" t="s">
        <v>159</v>
      </c>
      <c r="C264" s="38" t="s">
        <v>234</v>
      </c>
      <c r="D264" s="38" t="s">
        <v>20</v>
      </c>
      <c r="E264" s="39"/>
      <c r="F264" s="40" t="s">
        <v>511</v>
      </c>
      <c r="G264" s="37">
        <v>265</v>
      </c>
      <c r="H264" s="64" t="s">
        <v>588</v>
      </c>
      <c r="I264" s="41" t="s">
        <v>1534</v>
      </c>
      <c r="J264" s="37">
        <v>265</v>
      </c>
    </row>
    <row r="265" spans="1:10" s="41" customFormat="1" ht="22.5" customHeight="1">
      <c r="A265" s="37">
        <v>266</v>
      </c>
      <c r="B265" s="38" t="s">
        <v>159</v>
      </c>
      <c r="C265" s="38" t="s">
        <v>896</v>
      </c>
      <c r="D265" s="38" t="s">
        <v>20</v>
      </c>
      <c r="E265" s="39"/>
      <c r="F265" s="40" t="s">
        <v>897</v>
      </c>
      <c r="G265" s="37">
        <v>266</v>
      </c>
      <c r="H265" s="64" t="s">
        <v>588</v>
      </c>
      <c r="I265" s="41" t="s">
        <v>1335</v>
      </c>
      <c r="J265" s="37">
        <v>266</v>
      </c>
    </row>
    <row r="266" spans="1:10" s="41" customFormat="1" ht="22.5" customHeight="1">
      <c r="A266" s="37">
        <v>267</v>
      </c>
      <c r="B266" s="38" t="s">
        <v>159</v>
      </c>
      <c r="C266" s="38" t="s">
        <v>126</v>
      </c>
      <c r="D266" s="38" t="s">
        <v>199</v>
      </c>
      <c r="E266" s="39"/>
      <c r="F266" s="40" t="s">
        <v>586</v>
      </c>
      <c r="G266" s="37">
        <v>267</v>
      </c>
      <c r="H266" s="64" t="s">
        <v>587</v>
      </c>
      <c r="I266" s="41" t="s">
        <v>1535</v>
      </c>
      <c r="J266" s="37">
        <v>267</v>
      </c>
    </row>
    <row r="267" spans="1:10" s="41" customFormat="1" ht="22.5" customHeight="1">
      <c r="A267" s="37">
        <v>268</v>
      </c>
      <c r="B267" s="38" t="s">
        <v>898</v>
      </c>
      <c r="C267" s="38" t="s">
        <v>899</v>
      </c>
      <c r="D267" s="38" t="s">
        <v>900</v>
      </c>
      <c r="E267" s="39"/>
      <c r="F267" s="40" t="s">
        <v>901</v>
      </c>
      <c r="G267" s="37">
        <v>268</v>
      </c>
      <c r="H267" s="64" t="s">
        <v>1410</v>
      </c>
      <c r="I267" s="41" t="s">
        <v>1536</v>
      </c>
      <c r="J267" s="37">
        <v>268</v>
      </c>
    </row>
    <row r="268" spans="1:10" s="41" customFormat="1" ht="22.5" customHeight="1">
      <c r="A268" s="37">
        <v>269</v>
      </c>
      <c r="B268" s="38" t="s">
        <v>162</v>
      </c>
      <c r="C268" s="38" t="s">
        <v>902</v>
      </c>
      <c r="D268" s="38" t="s">
        <v>353</v>
      </c>
      <c r="E268" s="39"/>
      <c r="F268" s="40" t="s">
        <v>903</v>
      </c>
      <c r="G268" s="37">
        <v>269</v>
      </c>
      <c r="H268" s="64" t="s">
        <v>1035</v>
      </c>
      <c r="I268" s="41" t="s">
        <v>1336</v>
      </c>
      <c r="J268" s="37">
        <v>269</v>
      </c>
    </row>
    <row r="269" spans="1:10" s="41" customFormat="1" ht="22.5" customHeight="1">
      <c r="A269" s="37">
        <v>270</v>
      </c>
      <c r="B269" s="38" t="s">
        <v>162</v>
      </c>
      <c r="C269" s="38" t="s">
        <v>216</v>
      </c>
      <c r="D269" s="38" t="s">
        <v>100</v>
      </c>
      <c r="E269" s="39"/>
      <c r="F269" s="40" t="s">
        <v>448</v>
      </c>
      <c r="G269" s="37">
        <v>270</v>
      </c>
      <c r="H269" s="64" t="s">
        <v>1411</v>
      </c>
      <c r="I269" s="41" t="s">
        <v>1537</v>
      </c>
      <c r="J269" s="37">
        <v>270</v>
      </c>
    </row>
    <row r="270" spans="1:10" s="41" customFormat="1" ht="22.5" customHeight="1">
      <c r="A270" s="37">
        <v>271</v>
      </c>
      <c r="B270" s="38" t="s">
        <v>162</v>
      </c>
      <c r="C270" s="38" t="s">
        <v>365</v>
      </c>
      <c r="D270" s="38" t="s">
        <v>100</v>
      </c>
      <c r="E270" s="39"/>
      <c r="F270" s="40" t="s">
        <v>512</v>
      </c>
      <c r="G270" s="37">
        <v>271</v>
      </c>
      <c r="H270" s="64" t="s">
        <v>593</v>
      </c>
      <c r="I270" s="41" t="s">
        <v>1337</v>
      </c>
      <c r="J270" s="37">
        <v>271</v>
      </c>
    </row>
    <row r="271" spans="1:10" s="41" customFormat="1" ht="22.5" customHeight="1">
      <c r="A271" s="37">
        <v>272</v>
      </c>
      <c r="B271" s="38" t="s">
        <v>163</v>
      </c>
      <c r="C271" s="38" t="s">
        <v>75</v>
      </c>
      <c r="D271" s="38" t="s">
        <v>100</v>
      </c>
      <c r="E271" s="39"/>
      <c r="F271" s="40" t="s">
        <v>904</v>
      </c>
      <c r="G271" s="37">
        <v>272</v>
      </c>
      <c r="H271" s="64" t="s">
        <v>587</v>
      </c>
      <c r="I271" s="41" t="s">
        <v>1338</v>
      </c>
      <c r="J271" s="37">
        <v>272</v>
      </c>
    </row>
    <row r="272" spans="1:10" s="41" customFormat="1" ht="22.5" customHeight="1">
      <c r="A272" s="37">
        <v>273</v>
      </c>
      <c r="B272" s="38" t="s">
        <v>163</v>
      </c>
      <c r="C272" s="38" t="s">
        <v>366</v>
      </c>
      <c r="D272" s="38" t="s">
        <v>55</v>
      </c>
      <c r="E272" s="39"/>
      <c r="F272" s="40" t="s">
        <v>905</v>
      </c>
      <c r="G272" s="37">
        <v>273</v>
      </c>
      <c r="H272" s="64" t="s">
        <v>587</v>
      </c>
      <c r="I272" s="41" t="s">
        <v>1339</v>
      </c>
      <c r="J272" s="37">
        <v>273</v>
      </c>
    </row>
    <row r="273" spans="1:10" s="41" customFormat="1" ht="22.5" customHeight="1">
      <c r="A273" s="37">
        <v>274</v>
      </c>
      <c r="B273" s="38" t="s">
        <v>163</v>
      </c>
      <c r="C273" s="38" t="s">
        <v>305</v>
      </c>
      <c r="D273" s="38" t="s">
        <v>906</v>
      </c>
      <c r="E273" s="39"/>
      <c r="F273" s="40" t="s">
        <v>907</v>
      </c>
      <c r="G273" s="37">
        <v>274</v>
      </c>
      <c r="H273" s="64" t="s">
        <v>587</v>
      </c>
      <c r="I273" s="41" t="s">
        <v>1538</v>
      </c>
      <c r="J273" s="37">
        <v>274</v>
      </c>
    </row>
    <row r="274" spans="1:10" s="41" customFormat="1" ht="22.5" customHeight="1">
      <c r="A274" s="37">
        <v>275</v>
      </c>
      <c r="B274" s="38" t="s">
        <v>164</v>
      </c>
      <c r="C274" s="38" t="s">
        <v>908</v>
      </c>
      <c r="D274" s="38" t="s">
        <v>909</v>
      </c>
      <c r="E274" s="39"/>
      <c r="F274" s="40" t="s">
        <v>910</v>
      </c>
      <c r="G274" s="37">
        <v>275</v>
      </c>
      <c r="H274" s="64" t="s">
        <v>1029</v>
      </c>
      <c r="I274" s="41" t="s">
        <v>1340</v>
      </c>
      <c r="J274" s="37">
        <v>275</v>
      </c>
    </row>
    <row r="275" spans="1:10" s="41" customFormat="1" ht="22.5" customHeight="1">
      <c r="A275" s="37">
        <v>276</v>
      </c>
      <c r="B275" s="38" t="s">
        <v>164</v>
      </c>
      <c r="C275" s="38" t="s">
        <v>367</v>
      </c>
      <c r="D275" s="38" t="s">
        <v>368</v>
      </c>
      <c r="E275" s="39"/>
      <c r="F275" s="40" t="s">
        <v>513</v>
      </c>
      <c r="G275" s="37">
        <v>276</v>
      </c>
      <c r="H275" s="64" t="s">
        <v>1412</v>
      </c>
      <c r="I275" s="41" t="s">
        <v>1539</v>
      </c>
      <c r="J275" s="37">
        <v>276</v>
      </c>
    </row>
    <row r="276" spans="1:10" s="41" customFormat="1" ht="22.5" customHeight="1">
      <c r="A276" s="37">
        <v>277</v>
      </c>
      <c r="B276" s="38" t="s">
        <v>164</v>
      </c>
      <c r="C276" s="38" t="s">
        <v>369</v>
      </c>
      <c r="D276" s="38" t="s">
        <v>35</v>
      </c>
      <c r="E276" s="39"/>
      <c r="F276" s="40" t="s">
        <v>514</v>
      </c>
      <c r="G276" s="37">
        <v>277</v>
      </c>
      <c r="H276" s="64" t="s">
        <v>587</v>
      </c>
      <c r="I276" s="41" t="s">
        <v>1341</v>
      </c>
      <c r="J276" s="37">
        <v>277</v>
      </c>
    </row>
    <row r="277" spans="1:10" s="41" customFormat="1" ht="22.5" customHeight="1">
      <c r="A277" s="37">
        <v>278</v>
      </c>
      <c r="B277" s="38" t="s">
        <v>164</v>
      </c>
      <c r="C277" s="38" t="s">
        <v>370</v>
      </c>
      <c r="D277" s="38" t="s">
        <v>194</v>
      </c>
      <c r="E277" s="39"/>
      <c r="F277" s="40" t="s">
        <v>515</v>
      </c>
      <c r="G277" s="37">
        <v>278</v>
      </c>
      <c r="H277" s="64" t="s">
        <v>597</v>
      </c>
      <c r="I277" s="41" t="s">
        <v>1342</v>
      </c>
      <c r="J277" s="37">
        <v>278</v>
      </c>
    </row>
    <row r="278" spans="1:10" s="41" customFormat="1" ht="22.5" customHeight="1">
      <c r="A278" s="37">
        <v>279</v>
      </c>
      <c r="B278" s="38" t="s">
        <v>165</v>
      </c>
      <c r="C278" s="38" t="s">
        <v>235</v>
      </c>
      <c r="D278" s="38" t="s">
        <v>18</v>
      </c>
      <c r="E278" s="39"/>
      <c r="F278" s="40" t="s">
        <v>516</v>
      </c>
      <c r="G278" s="37">
        <v>279</v>
      </c>
      <c r="H278" s="64" t="s">
        <v>587</v>
      </c>
      <c r="I278" s="41" t="s">
        <v>1540</v>
      </c>
      <c r="J278" s="37">
        <v>279</v>
      </c>
    </row>
    <row r="279" spans="1:10" s="41" customFormat="1" ht="22.5" customHeight="1">
      <c r="A279" s="37">
        <v>280</v>
      </c>
      <c r="B279" s="38" t="s">
        <v>165</v>
      </c>
      <c r="C279" s="38" t="s">
        <v>819</v>
      </c>
      <c r="D279" s="38" t="s">
        <v>46</v>
      </c>
      <c r="E279" s="39"/>
      <c r="F279" s="40" t="s">
        <v>911</v>
      </c>
      <c r="G279" s="37">
        <v>280</v>
      </c>
      <c r="H279" s="64" t="s">
        <v>598</v>
      </c>
      <c r="I279" s="41" t="s">
        <v>1343</v>
      </c>
      <c r="J279" s="37">
        <v>280</v>
      </c>
    </row>
    <row r="280" spans="1:10" s="41" customFormat="1" ht="22.5" customHeight="1">
      <c r="A280" s="37">
        <v>281</v>
      </c>
      <c r="B280" s="38" t="s">
        <v>167</v>
      </c>
      <c r="C280" s="38" t="s">
        <v>912</v>
      </c>
      <c r="D280" s="38" t="s">
        <v>913</v>
      </c>
      <c r="E280" s="39"/>
      <c r="F280" s="40" t="s">
        <v>914</v>
      </c>
      <c r="G280" s="37">
        <v>281</v>
      </c>
      <c r="H280" s="64" t="s">
        <v>978</v>
      </c>
      <c r="I280" s="41" t="s">
        <v>1344</v>
      </c>
      <c r="J280" s="37">
        <v>281</v>
      </c>
    </row>
    <row r="281" spans="1:10" s="41" customFormat="1" ht="22.5" customHeight="1">
      <c r="A281" s="37">
        <v>282</v>
      </c>
      <c r="B281" s="38" t="s">
        <v>167</v>
      </c>
      <c r="C281" s="38" t="s">
        <v>915</v>
      </c>
      <c r="D281" s="38" t="s">
        <v>916</v>
      </c>
      <c r="E281" s="39"/>
      <c r="F281" s="40" t="s">
        <v>917</v>
      </c>
      <c r="G281" s="37">
        <v>282</v>
      </c>
      <c r="H281" s="64" t="s">
        <v>1413</v>
      </c>
      <c r="I281" s="41" t="s">
        <v>1541</v>
      </c>
      <c r="J281" s="37">
        <v>282</v>
      </c>
    </row>
    <row r="282" spans="1:10" s="41" customFormat="1" ht="22.5" customHeight="1">
      <c r="A282" s="37">
        <v>283</v>
      </c>
      <c r="B282" s="38" t="s">
        <v>167</v>
      </c>
      <c r="C282" s="38" t="s">
        <v>918</v>
      </c>
      <c r="D282" s="38" t="s">
        <v>919</v>
      </c>
      <c r="E282" s="39"/>
      <c r="F282" s="40" t="s">
        <v>920</v>
      </c>
      <c r="G282" s="37">
        <v>283</v>
      </c>
      <c r="H282" s="64" t="s">
        <v>975</v>
      </c>
      <c r="I282" s="41" t="s">
        <v>1542</v>
      </c>
      <c r="J282" s="37">
        <v>283</v>
      </c>
    </row>
    <row r="283" spans="1:10" s="41" customFormat="1" ht="22.5" customHeight="1">
      <c r="A283" s="37">
        <v>284</v>
      </c>
      <c r="B283" s="38" t="s">
        <v>168</v>
      </c>
      <c r="C283" s="38" t="s">
        <v>921</v>
      </c>
      <c r="D283" s="38" t="s">
        <v>922</v>
      </c>
      <c r="E283" s="39"/>
      <c r="F283" s="40" t="s">
        <v>923</v>
      </c>
      <c r="G283" s="37">
        <v>284</v>
      </c>
      <c r="H283" s="64" t="s">
        <v>988</v>
      </c>
      <c r="I283" s="41" t="s">
        <v>1345</v>
      </c>
      <c r="J283" s="37">
        <v>284</v>
      </c>
    </row>
    <row r="284" spans="1:10" s="41" customFormat="1" ht="22.5" customHeight="1">
      <c r="A284" s="37">
        <v>285</v>
      </c>
      <c r="B284" s="38" t="s">
        <v>168</v>
      </c>
      <c r="C284" s="38" t="s">
        <v>924</v>
      </c>
      <c r="D284" s="38" t="s">
        <v>16</v>
      </c>
      <c r="E284" s="39"/>
      <c r="F284" s="40" t="s">
        <v>925</v>
      </c>
      <c r="G284" s="37">
        <v>285</v>
      </c>
      <c r="H284" s="64" t="s">
        <v>967</v>
      </c>
      <c r="I284" s="41" t="s">
        <v>1346</v>
      </c>
      <c r="J284" s="37">
        <v>285</v>
      </c>
    </row>
    <row r="285" spans="1:10" s="41" customFormat="1" ht="22.5" customHeight="1">
      <c r="A285" s="37">
        <v>286</v>
      </c>
      <c r="B285" s="38" t="s">
        <v>169</v>
      </c>
      <c r="C285" s="38" t="s">
        <v>236</v>
      </c>
      <c r="D285" s="38" t="s">
        <v>55</v>
      </c>
      <c r="E285" s="39"/>
      <c r="F285" s="40" t="s">
        <v>517</v>
      </c>
      <c r="G285" s="37">
        <v>286</v>
      </c>
      <c r="H285" s="64" t="s">
        <v>587</v>
      </c>
      <c r="I285" s="41" t="s">
        <v>1543</v>
      </c>
      <c r="J285" s="37">
        <v>286</v>
      </c>
    </row>
    <row r="286" spans="1:10" s="41" customFormat="1" ht="22.5" customHeight="1">
      <c r="A286" s="37">
        <v>287</v>
      </c>
      <c r="B286" s="38" t="s">
        <v>169</v>
      </c>
      <c r="C286" s="38" t="s">
        <v>170</v>
      </c>
      <c r="D286" s="38" t="s">
        <v>171</v>
      </c>
      <c r="E286" s="39"/>
      <c r="F286" s="40" t="s">
        <v>518</v>
      </c>
      <c r="G286" s="37">
        <v>287</v>
      </c>
      <c r="H286" s="64" t="s">
        <v>587</v>
      </c>
      <c r="I286" s="41" t="s">
        <v>1544</v>
      </c>
      <c r="J286" s="37">
        <v>287</v>
      </c>
    </row>
    <row r="287" spans="1:10" s="41" customFormat="1" ht="22.5" customHeight="1">
      <c r="A287" s="37">
        <v>288</v>
      </c>
      <c r="B287" s="38" t="s">
        <v>172</v>
      </c>
      <c r="C287" s="38" t="s">
        <v>926</v>
      </c>
      <c r="D287" s="38" t="s">
        <v>16</v>
      </c>
      <c r="E287" s="39"/>
      <c r="F287" s="40" t="s">
        <v>927</v>
      </c>
      <c r="G287" s="37">
        <v>288</v>
      </c>
      <c r="H287" s="64" t="s">
        <v>590</v>
      </c>
      <c r="I287" s="41" t="s">
        <v>1347</v>
      </c>
      <c r="J287" s="37">
        <v>288</v>
      </c>
    </row>
    <row r="288" spans="1:10" s="41" customFormat="1" ht="22.5" customHeight="1">
      <c r="A288" s="37">
        <v>289</v>
      </c>
      <c r="B288" s="38" t="s">
        <v>172</v>
      </c>
      <c r="C288" s="38" t="s">
        <v>928</v>
      </c>
      <c r="D288" s="38" t="s">
        <v>929</v>
      </c>
      <c r="E288" s="39"/>
      <c r="F288" s="40" t="s">
        <v>930</v>
      </c>
      <c r="G288" s="37">
        <v>289</v>
      </c>
      <c r="H288" s="64" t="s">
        <v>1412</v>
      </c>
      <c r="I288" s="41" t="s">
        <v>1348</v>
      </c>
      <c r="J288" s="37">
        <v>289</v>
      </c>
    </row>
    <row r="289" spans="1:10" s="41" customFormat="1" ht="22.5" customHeight="1">
      <c r="A289" s="37">
        <v>290</v>
      </c>
      <c r="B289" s="38" t="s">
        <v>172</v>
      </c>
      <c r="C289" s="38" t="s">
        <v>931</v>
      </c>
      <c r="D289" s="38" t="s">
        <v>932</v>
      </c>
      <c r="E289" s="39"/>
      <c r="F289" s="40" t="s">
        <v>933</v>
      </c>
      <c r="G289" s="37">
        <v>290</v>
      </c>
      <c r="H289" s="64" t="s">
        <v>1019</v>
      </c>
      <c r="I289" s="41" t="s">
        <v>1349</v>
      </c>
      <c r="J289" s="37">
        <v>290</v>
      </c>
    </row>
    <row r="290" spans="1:10">
      <c r="A290" s="37">
        <v>291</v>
      </c>
      <c r="B290" s="38" t="s">
        <v>143</v>
      </c>
      <c r="C290" s="38" t="s">
        <v>960</v>
      </c>
      <c r="D290" s="38" t="s">
        <v>243</v>
      </c>
      <c r="E290" s="39"/>
      <c r="F290" s="40" t="s">
        <v>966</v>
      </c>
      <c r="G290" s="37">
        <v>291</v>
      </c>
      <c r="H290" s="64" t="s">
        <v>1008</v>
      </c>
      <c r="I290" s="41" t="s">
        <v>1350</v>
      </c>
      <c r="J290" s="37">
        <v>291</v>
      </c>
    </row>
    <row r="291" spans="1:10">
      <c r="A291" s="37">
        <v>292</v>
      </c>
      <c r="B291" s="38" t="s">
        <v>37</v>
      </c>
      <c r="C291" s="38" t="s">
        <v>961</v>
      </c>
      <c r="D291" s="38" t="s">
        <v>962</v>
      </c>
      <c r="E291" s="39"/>
      <c r="F291" s="40" t="s">
        <v>965</v>
      </c>
      <c r="G291" s="37">
        <v>292</v>
      </c>
      <c r="H291" s="64" t="s">
        <v>1414</v>
      </c>
      <c r="I291" s="41" t="s">
        <v>1545</v>
      </c>
      <c r="J291" s="37">
        <v>292</v>
      </c>
    </row>
  </sheetData>
  <autoFilter ref="A1:F291"/>
  <phoneticPr fontId="0" type="noConversion"/>
  <pageMargins left="1.26" right="0.74803149606299213" top="0.51181102362204722" bottom="0.6692913385826772" header="0.19685039370078741" footer="0.35433070866141736"/>
  <pageSetup paperSize="9" scale="92" orientation="portrait" r:id="rId1"/>
  <headerFooter alignWithMargins="0">
    <oddHeader>&amp;C&amp;"Arial Tur,Kalın"&amp;N / &amp;P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 filterMode="1">
    <tabColor rgb="FFFF0000"/>
  </sheetPr>
  <dimension ref="A1:D100"/>
  <sheetViews>
    <sheetView workbookViewId="0">
      <selection activeCell="B103" sqref="B103"/>
    </sheetView>
  </sheetViews>
  <sheetFormatPr defaultRowHeight="17.25" customHeight="1"/>
  <cols>
    <col min="1" max="1" width="8.5703125" style="1" bestFit="1" customWidth="1"/>
    <col min="2" max="2" width="70.42578125" style="1" customWidth="1"/>
    <col min="3" max="3" width="22.7109375" style="1" hidden="1" customWidth="1"/>
    <col min="4" max="4" width="11.28515625" style="2" bestFit="1" customWidth="1"/>
    <col min="5" max="16384" width="9.140625" style="1"/>
  </cols>
  <sheetData>
    <row r="1" spans="1:4" ht="33" customHeight="1">
      <c r="A1" s="18" t="s">
        <v>610</v>
      </c>
      <c r="B1" s="15" t="s">
        <v>378</v>
      </c>
      <c r="C1" s="15"/>
      <c r="D1" s="18" t="s">
        <v>613</v>
      </c>
    </row>
    <row r="2" spans="1:4" ht="17.25" hidden="1" customHeight="1">
      <c r="A2" s="119">
        <v>1</v>
      </c>
      <c r="B2" s="29" t="s">
        <v>524</v>
      </c>
      <c r="C2" s="30"/>
      <c r="D2" s="31">
        <f>COUNTIF('Giriş Sayfası'!E:E,'Tercih Sayıları'!A2)</f>
        <v>1</v>
      </c>
    </row>
    <row r="3" spans="1:4" ht="17.25" hidden="1" customHeight="1">
      <c r="A3" s="119">
        <v>2</v>
      </c>
      <c r="B3" s="29" t="s">
        <v>529</v>
      </c>
      <c r="C3" s="30"/>
      <c r="D3" s="31">
        <f>COUNTIF('Giriş Sayfası'!E:E,'Tercih Sayıları'!A3)</f>
        <v>7</v>
      </c>
    </row>
    <row r="4" spans="1:4" ht="17.25" hidden="1" customHeight="1">
      <c r="A4" s="119">
        <v>3</v>
      </c>
      <c r="B4" s="29" t="s">
        <v>525</v>
      </c>
      <c r="C4" s="30"/>
      <c r="D4" s="31">
        <f>COUNTIF('Giriş Sayfası'!E:E,'Tercih Sayıları'!A4)</f>
        <v>1</v>
      </c>
    </row>
    <row r="5" spans="1:4" ht="17.25" hidden="1" customHeight="1">
      <c r="A5" s="119">
        <v>4</v>
      </c>
      <c r="B5" s="29" t="s">
        <v>3</v>
      </c>
      <c r="C5" s="30"/>
      <c r="D5" s="31">
        <f>COUNTIF('Giriş Sayfası'!E:E,'Tercih Sayıları'!A5)</f>
        <v>12</v>
      </c>
    </row>
    <row r="6" spans="1:4" ht="17.25" hidden="1" customHeight="1">
      <c r="A6" s="119">
        <v>5</v>
      </c>
      <c r="B6" s="29" t="s">
        <v>532</v>
      </c>
      <c r="C6" s="30"/>
      <c r="D6" s="31">
        <f>COUNTIF('Giriş Sayfası'!E:E,'Tercih Sayıları'!A6)</f>
        <v>2</v>
      </c>
    </row>
    <row r="7" spans="1:4" ht="17.25" hidden="1" customHeight="1">
      <c r="A7" s="119">
        <v>6</v>
      </c>
      <c r="B7" s="29" t="s">
        <v>563</v>
      </c>
      <c r="C7" s="30"/>
      <c r="D7" s="31">
        <f>COUNTIF('Giriş Sayfası'!E:E,'Tercih Sayıları'!A7)</f>
        <v>1</v>
      </c>
    </row>
    <row r="8" spans="1:4" ht="17.25" hidden="1" customHeight="1">
      <c r="A8" s="119">
        <v>7</v>
      </c>
      <c r="B8" s="29" t="s">
        <v>564</v>
      </c>
      <c r="C8" s="30"/>
      <c r="D8" s="31">
        <f>COUNTIF('Giriş Sayfası'!E:E,'Tercih Sayıları'!A8)</f>
        <v>1</v>
      </c>
    </row>
    <row r="9" spans="1:4" ht="17.25" hidden="1" customHeight="1">
      <c r="A9" s="119">
        <v>8</v>
      </c>
      <c r="B9" s="32" t="s">
        <v>565</v>
      </c>
      <c r="C9" s="30"/>
      <c r="D9" s="31">
        <f>COUNTIF('Giriş Sayfası'!E:E,'Tercih Sayıları'!A9)</f>
        <v>3</v>
      </c>
    </row>
    <row r="10" spans="1:4" ht="17.25" hidden="1" customHeight="1">
      <c r="A10" s="119">
        <v>9</v>
      </c>
      <c r="B10" s="32" t="s">
        <v>537</v>
      </c>
      <c r="C10" s="30"/>
      <c r="D10" s="31">
        <f>COUNTIF('Giriş Sayfası'!E:E,'Tercih Sayıları'!A10)</f>
        <v>17</v>
      </c>
    </row>
    <row r="11" spans="1:4" ht="17.25" hidden="1" customHeight="1">
      <c r="A11" s="119">
        <v>10</v>
      </c>
      <c r="B11" s="32" t="s">
        <v>538</v>
      </c>
      <c r="C11" s="30"/>
      <c r="D11" s="31">
        <f>COUNTIF('Giriş Sayfası'!E:E,'Tercih Sayıları'!A11)</f>
        <v>13</v>
      </c>
    </row>
    <row r="12" spans="1:4" ht="17.25" hidden="1" customHeight="1">
      <c r="A12" s="119">
        <v>11</v>
      </c>
      <c r="B12" s="32" t="s">
        <v>539</v>
      </c>
      <c r="C12" s="30"/>
      <c r="D12" s="31">
        <f>COUNTIF('Giriş Sayfası'!E:E,'Tercih Sayıları'!A12)</f>
        <v>16</v>
      </c>
    </row>
    <row r="13" spans="1:4" ht="17.25" hidden="1" customHeight="1">
      <c r="A13" s="119">
        <v>12</v>
      </c>
      <c r="B13" s="32" t="s">
        <v>540</v>
      </c>
      <c r="C13" s="30"/>
      <c r="D13" s="31">
        <f>COUNTIF('Giriş Sayfası'!E:E,'Tercih Sayıları'!A13)</f>
        <v>1</v>
      </c>
    </row>
    <row r="14" spans="1:4" ht="17.25" hidden="1" customHeight="1">
      <c r="A14" s="119">
        <v>13</v>
      </c>
      <c r="B14" s="32" t="s">
        <v>541</v>
      </c>
      <c r="C14" s="30"/>
      <c r="D14" s="31">
        <f>COUNTIF('Giriş Sayfası'!E:E,'Tercih Sayıları'!A14)</f>
        <v>1</v>
      </c>
    </row>
    <row r="15" spans="1:4" ht="17.25" customHeight="1">
      <c r="A15" s="119">
        <v>14</v>
      </c>
      <c r="B15" s="32" t="s">
        <v>542</v>
      </c>
      <c r="C15" s="30"/>
      <c r="D15" s="31">
        <f>COUNTIF('Giriş Sayfası'!E:E,'Tercih Sayıları'!A15)</f>
        <v>0</v>
      </c>
    </row>
    <row r="16" spans="1:4" ht="17.25" hidden="1" customHeight="1">
      <c r="A16" s="119">
        <v>15</v>
      </c>
      <c r="B16" s="32" t="s">
        <v>543</v>
      </c>
      <c r="C16" s="30"/>
      <c r="D16" s="31">
        <f>COUNTIF('Giriş Sayfası'!E:E,'Tercih Sayıları'!A16)</f>
        <v>4</v>
      </c>
    </row>
    <row r="17" spans="1:4" ht="17.25" hidden="1" customHeight="1">
      <c r="A17" s="119">
        <v>16</v>
      </c>
      <c r="B17" s="32" t="s">
        <v>544</v>
      </c>
      <c r="C17" s="30"/>
      <c r="D17" s="31">
        <f>COUNTIF('Giriş Sayfası'!E:E,'Tercih Sayıları'!A17)</f>
        <v>7</v>
      </c>
    </row>
    <row r="18" spans="1:4" ht="17.25" hidden="1" customHeight="1">
      <c r="A18" s="119">
        <v>17</v>
      </c>
      <c r="B18" s="32" t="s">
        <v>955</v>
      </c>
      <c r="C18" s="30"/>
      <c r="D18" s="31">
        <f>COUNTIF('Giriş Sayfası'!E:E,'Tercih Sayıları'!A18)</f>
        <v>2</v>
      </c>
    </row>
    <row r="19" spans="1:4" ht="17.25" hidden="1" customHeight="1">
      <c r="A19" s="119">
        <v>18</v>
      </c>
      <c r="B19" s="32" t="s">
        <v>9</v>
      </c>
      <c r="C19" s="30"/>
      <c r="D19" s="31">
        <f>COUNTIF('Giriş Sayfası'!E:E,'Tercih Sayıları'!A19)</f>
        <v>15</v>
      </c>
    </row>
    <row r="20" spans="1:4" ht="17.25" hidden="1" customHeight="1">
      <c r="A20" s="119">
        <v>19</v>
      </c>
      <c r="B20" s="32" t="s">
        <v>615</v>
      </c>
      <c r="C20" s="30"/>
      <c r="D20" s="31">
        <f>COUNTIF('Giriş Sayfası'!E:E,'Tercih Sayıları'!A20)</f>
        <v>3</v>
      </c>
    </row>
    <row r="21" spans="1:4" ht="17.25" hidden="1" customHeight="1">
      <c r="A21" s="119">
        <v>20</v>
      </c>
      <c r="B21" s="32" t="s">
        <v>581</v>
      </c>
      <c r="C21" s="30"/>
      <c r="D21" s="31">
        <f>COUNTIF('Giriş Sayfası'!E:E,'Tercih Sayıları'!A21)</f>
        <v>2</v>
      </c>
    </row>
    <row r="22" spans="1:4" ht="17.25" hidden="1" customHeight="1">
      <c r="A22" s="119">
        <v>21</v>
      </c>
      <c r="B22" s="32" t="s">
        <v>950</v>
      </c>
      <c r="C22" s="30"/>
      <c r="D22" s="31">
        <f>COUNTIF('Giriş Sayfası'!E:E,'Tercih Sayıları'!A22)</f>
        <v>2</v>
      </c>
    </row>
    <row r="23" spans="1:4" ht="17.25" hidden="1" customHeight="1">
      <c r="A23" s="119">
        <v>22</v>
      </c>
      <c r="B23" s="32" t="s">
        <v>956</v>
      </c>
      <c r="C23" s="30"/>
      <c r="D23" s="31">
        <f>COUNTIF('Giriş Sayfası'!E:E,'Tercih Sayıları'!A23)</f>
        <v>12</v>
      </c>
    </row>
    <row r="24" spans="1:4" ht="17.25" hidden="1" customHeight="1">
      <c r="A24" s="119">
        <v>23</v>
      </c>
      <c r="B24" s="32" t="s">
        <v>7</v>
      </c>
      <c r="C24" s="30"/>
      <c r="D24" s="31">
        <f>COUNTIF('Giriş Sayfası'!E:E,'Tercih Sayıları'!A24)</f>
        <v>10</v>
      </c>
    </row>
    <row r="25" spans="1:4" ht="17.25" hidden="1" customHeight="1">
      <c r="A25" s="119">
        <v>24</v>
      </c>
      <c r="B25" s="32" t="s">
        <v>951</v>
      </c>
      <c r="C25" s="30"/>
      <c r="D25" s="31">
        <f>COUNTIF('Giriş Sayfası'!E:E,'Tercih Sayıları'!A25)</f>
        <v>5</v>
      </c>
    </row>
    <row r="26" spans="1:4" ht="17.25" hidden="1" customHeight="1">
      <c r="A26" s="119">
        <v>25</v>
      </c>
      <c r="B26" s="32" t="s">
        <v>550</v>
      </c>
      <c r="C26" s="30"/>
      <c r="D26" s="31">
        <f>COUNTIF('Giriş Sayfası'!E:E,'Tercih Sayıları'!A26)</f>
        <v>1</v>
      </c>
    </row>
    <row r="27" spans="1:4" ht="17.25" hidden="1" customHeight="1">
      <c r="A27" s="119">
        <v>26</v>
      </c>
      <c r="B27" s="32" t="s">
        <v>947</v>
      </c>
      <c r="C27" s="30"/>
      <c r="D27" s="31">
        <f>COUNTIF('Giriş Sayfası'!E:E,'Tercih Sayıları'!A27)</f>
        <v>21</v>
      </c>
    </row>
    <row r="28" spans="1:4" ht="17.25" hidden="1" customHeight="1">
      <c r="A28" s="119">
        <v>27</v>
      </c>
      <c r="B28" s="32" t="s">
        <v>569</v>
      </c>
      <c r="C28" s="30"/>
      <c r="D28" s="31">
        <f>COUNTIF('Giriş Sayfası'!E:E,'Tercih Sayıları'!A28)</f>
        <v>15</v>
      </c>
    </row>
    <row r="29" spans="1:4" ht="17.25" hidden="1" customHeight="1">
      <c r="A29" s="119">
        <v>28</v>
      </c>
      <c r="B29" s="29" t="s">
        <v>570</v>
      </c>
      <c r="C29" s="30"/>
      <c r="D29" s="31">
        <f>COUNTIF('Giriş Sayfası'!E:E,'Tercih Sayıları'!A29)</f>
        <v>25</v>
      </c>
    </row>
    <row r="30" spans="1:4" ht="17.25" hidden="1" customHeight="1">
      <c r="A30" s="119">
        <v>29</v>
      </c>
      <c r="B30" s="32" t="s">
        <v>571</v>
      </c>
      <c r="C30" s="30"/>
      <c r="D30" s="31">
        <f>COUNTIF('Giriş Sayfası'!E:E,'Tercih Sayıları'!A30)</f>
        <v>6</v>
      </c>
    </row>
    <row r="31" spans="1:4" ht="17.25" hidden="1" customHeight="1">
      <c r="A31" s="119">
        <v>30</v>
      </c>
      <c r="B31" s="32" t="s">
        <v>572</v>
      </c>
      <c r="C31" s="30"/>
      <c r="D31" s="31">
        <f>COUNTIF('Giriş Sayfası'!E:E,'Tercih Sayıları'!A31)</f>
        <v>3</v>
      </c>
    </row>
    <row r="32" spans="1:4" ht="17.25" hidden="1" customHeight="1">
      <c r="A32" s="119">
        <v>31</v>
      </c>
      <c r="B32" s="32" t="s">
        <v>946</v>
      </c>
      <c r="C32" s="30"/>
      <c r="D32" s="31">
        <f>COUNTIF('Giriş Sayfası'!E:E,'Tercih Sayıları'!A32)</f>
        <v>22</v>
      </c>
    </row>
    <row r="33" spans="1:4" ht="17.25" hidden="1" customHeight="1">
      <c r="A33" s="119">
        <v>32</v>
      </c>
      <c r="B33" s="29" t="s">
        <v>549</v>
      </c>
      <c r="C33" s="30"/>
      <c r="D33" s="31">
        <f>COUNTIF('Giriş Sayfası'!E:E,'Tercih Sayıları'!A33)</f>
        <v>3</v>
      </c>
    </row>
    <row r="34" spans="1:4" ht="17.25" hidden="1" customHeight="1">
      <c r="A34" s="119">
        <v>33</v>
      </c>
      <c r="B34" s="32" t="s">
        <v>5</v>
      </c>
      <c r="C34" s="30"/>
      <c r="D34" s="31">
        <f>COUNTIF('Giriş Sayfası'!E:E,'Tercih Sayıları'!A34)</f>
        <v>9</v>
      </c>
    </row>
    <row r="35" spans="1:4" ht="17.25" hidden="1" customHeight="1">
      <c r="A35" s="119">
        <v>34</v>
      </c>
      <c r="B35" s="32" t="s">
        <v>8</v>
      </c>
      <c r="C35" s="30"/>
      <c r="D35" s="31">
        <f>COUNTIF('Giriş Sayfası'!E:E,'Tercih Sayıları'!A35)</f>
        <v>11</v>
      </c>
    </row>
    <row r="36" spans="1:4" ht="17.25" hidden="1" customHeight="1">
      <c r="A36" s="119">
        <v>35</v>
      </c>
      <c r="B36" s="32" t="s">
        <v>556</v>
      </c>
      <c r="C36" s="30"/>
      <c r="D36" s="31">
        <f>COUNTIF('Giriş Sayfası'!E:E,'Tercih Sayıları'!A36)</f>
        <v>3</v>
      </c>
    </row>
    <row r="37" spans="1:4" ht="17.25" hidden="1" customHeight="1">
      <c r="A37" s="119">
        <v>36</v>
      </c>
      <c r="B37" s="29" t="s">
        <v>557</v>
      </c>
      <c r="C37" s="30"/>
      <c r="D37" s="31">
        <f>COUNTIF('Giriş Sayfası'!E:E,'Tercih Sayıları'!A37)</f>
        <v>5</v>
      </c>
    </row>
    <row r="38" spans="1:4" ht="17.25" hidden="1" customHeight="1">
      <c r="A38" s="119">
        <v>37</v>
      </c>
      <c r="B38" s="32" t="s">
        <v>558</v>
      </c>
      <c r="C38" s="30"/>
      <c r="D38" s="31">
        <f>COUNTIF('Giriş Sayfası'!E:E,'Tercih Sayıları'!A38)</f>
        <v>4</v>
      </c>
    </row>
    <row r="39" spans="1:4" ht="17.25" hidden="1" customHeight="1">
      <c r="A39" s="119">
        <v>38</v>
      </c>
      <c r="B39" s="29" t="s">
        <v>534</v>
      </c>
      <c r="C39" s="30"/>
      <c r="D39" s="31">
        <f>COUNTIF('Giriş Sayfası'!E:E,'Tercih Sayıları'!A39)</f>
        <v>7</v>
      </c>
    </row>
    <row r="40" spans="1:4" ht="17.25" hidden="1" customHeight="1">
      <c r="A40" s="119">
        <v>39</v>
      </c>
      <c r="B40" s="29" t="s">
        <v>545</v>
      </c>
      <c r="C40" s="30"/>
      <c r="D40" s="31">
        <f>COUNTIF('Giriş Sayfası'!E:E,'Tercih Sayıları'!A40)</f>
        <v>2</v>
      </c>
    </row>
    <row r="41" spans="1:4" ht="17.25" customHeight="1">
      <c r="A41" s="119">
        <v>40</v>
      </c>
      <c r="B41" s="32" t="s">
        <v>526</v>
      </c>
      <c r="C41" s="30"/>
      <c r="D41" s="31">
        <f>COUNTIF('Giriş Sayfası'!E:E,'Tercih Sayıları'!A41)</f>
        <v>0</v>
      </c>
    </row>
    <row r="42" spans="1:4" ht="17.25" hidden="1" customHeight="1">
      <c r="A42" s="119">
        <v>41</v>
      </c>
      <c r="B42" s="32" t="s">
        <v>527</v>
      </c>
      <c r="C42" s="30"/>
      <c r="D42" s="31">
        <f>COUNTIF('Giriş Sayfası'!E:E,'Tercih Sayıları'!A42)</f>
        <v>3</v>
      </c>
    </row>
    <row r="43" spans="1:4" ht="17.25" hidden="1" customHeight="1">
      <c r="A43" s="119">
        <v>42</v>
      </c>
      <c r="B43" s="32" t="s">
        <v>528</v>
      </c>
      <c r="C43" s="30"/>
      <c r="D43" s="31">
        <f>COUNTIF('Giriş Sayfası'!E:E,'Tercih Sayıları'!A43)</f>
        <v>1</v>
      </c>
    </row>
    <row r="44" spans="1:4" ht="17.25" hidden="1" customHeight="1">
      <c r="A44" s="119">
        <v>43</v>
      </c>
      <c r="B44" s="32" t="s">
        <v>10</v>
      </c>
      <c r="C44" s="30"/>
      <c r="D44" s="31">
        <f>COUNTIF('Giriş Sayfası'!E:E,'Tercih Sayıları'!A44)</f>
        <v>11</v>
      </c>
    </row>
    <row r="45" spans="1:4" ht="17.25" hidden="1" customHeight="1">
      <c r="A45" s="119">
        <v>44</v>
      </c>
      <c r="B45" s="32" t="s">
        <v>567</v>
      </c>
      <c r="C45" s="30"/>
      <c r="D45" s="31">
        <f>COUNTIF('Giriş Sayfası'!E:E,'Tercih Sayıları'!A45)</f>
        <v>1</v>
      </c>
    </row>
    <row r="46" spans="1:4" ht="17.25" hidden="1" customHeight="1">
      <c r="A46" s="119">
        <v>45</v>
      </c>
      <c r="B46" s="29" t="s">
        <v>943</v>
      </c>
      <c r="C46" s="30"/>
      <c r="D46" s="31">
        <f>COUNTIF('Giriş Sayfası'!E:E,'Tercih Sayıları'!A46)</f>
        <v>1</v>
      </c>
    </row>
    <row r="47" spans="1:4" ht="17.25" hidden="1" customHeight="1">
      <c r="A47" s="119">
        <v>46</v>
      </c>
      <c r="B47" s="32" t="s">
        <v>568</v>
      </c>
      <c r="C47" s="30"/>
      <c r="D47" s="31">
        <f>COUNTIF('Giriş Sayfası'!E:E,'Tercih Sayıları'!A47)</f>
        <v>10</v>
      </c>
    </row>
    <row r="48" spans="1:4" ht="17.25" hidden="1" customHeight="1">
      <c r="A48" s="119">
        <v>47</v>
      </c>
      <c r="B48" s="32" t="s">
        <v>944</v>
      </c>
      <c r="C48" s="30"/>
      <c r="D48" s="31">
        <f>COUNTIF('Giriş Sayfası'!E:E,'Tercih Sayıları'!A48)</f>
        <v>8</v>
      </c>
    </row>
    <row r="49" spans="1:4" ht="17.25" hidden="1" customHeight="1">
      <c r="A49" s="119">
        <v>48</v>
      </c>
      <c r="B49" s="32" t="s">
        <v>957</v>
      </c>
      <c r="C49" s="30"/>
      <c r="D49" s="31">
        <f>COUNTIF('Giriş Sayfası'!E:E,'Tercih Sayıları'!A49)</f>
        <v>8</v>
      </c>
    </row>
    <row r="50" spans="1:4" ht="17.25" hidden="1" customHeight="1">
      <c r="A50" s="119">
        <v>49</v>
      </c>
      <c r="B50" s="29" t="s">
        <v>6</v>
      </c>
      <c r="C50" s="30"/>
      <c r="D50" s="31">
        <f>COUNTIF('Giriş Sayfası'!E:E,'Tercih Sayıları'!A50)</f>
        <v>13</v>
      </c>
    </row>
    <row r="51" spans="1:4" ht="17.25" hidden="1" customHeight="1">
      <c r="A51" s="119">
        <v>50</v>
      </c>
      <c r="B51" s="32" t="s">
        <v>559</v>
      </c>
      <c r="C51" s="30"/>
      <c r="D51" s="31">
        <f>COUNTIF('Giriş Sayfası'!E:E,'Tercih Sayıları'!A51)</f>
        <v>7</v>
      </c>
    </row>
    <row r="52" spans="1:4" ht="17.25" hidden="1" customHeight="1">
      <c r="A52" s="119">
        <v>51</v>
      </c>
      <c r="B52" s="32" t="s">
        <v>560</v>
      </c>
      <c r="C52" s="30"/>
      <c r="D52" s="31">
        <f>COUNTIF('Giriş Sayfası'!E:E,'Tercih Sayıları'!A52)</f>
        <v>5</v>
      </c>
    </row>
    <row r="53" spans="1:4" ht="17.25" hidden="1" customHeight="1">
      <c r="A53" s="119">
        <v>52</v>
      </c>
      <c r="B53" s="32" t="s">
        <v>561</v>
      </c>
      <c r="C53" s="30"/>
      <c r="D53" s="31">
        <f>COUNTIF('Giriş Sayfası'!E:E,'Tercih Sayıları'!A53)</f>
        <v>2</v>
      </c>
    </row>
    <row r="54" spans="1:4" ht="17.25" hidden="1" customHeight="1">
      <c r="A54" s="119">
        <v>53</v>
      </c>
      <c r="B54" s="32" t="s">
        <v>562</v>
      </c>
      <c r="C54" s="30"/>
      <c r="D54" s="31">
        <f>COUNTIF('Giriş Sayfası'!E:E,'Tercih Sayıları'!A54)</f>
        <v>13</v>
      </c>
    </row>
    <row r="55" spans="1:4" ht="17.25" hidden="1" customHeight="1">
      <c r="A55" s="119">
        <v>54</v>
      </c>
      <c r="B55" s="32" t="s">
        <v>533</v>
      </c>
      <c r="C55" s="30"/>
      <c r="D55" s="31">
        <f>COUNTIF('Giriş Sayfası'!E:E,'Tercih Sayıları'!A55)</f>
        <v>13</v>
      </c>
    </row>
    <row r="56" spans="1:4" ht="17.25" hidden="1" customHeight="1">
      <c r="A56" s="119">
        <v>55</v>
      </c>
      <c r="B56" s="29" t="s">
        <v>238</v>
      </c>
      <c r="C56" s="30"/>
      <c r="D56" s="31">
        <f>COUNTIF('Giriş Sayfası'!E:E,'Tercih Sayıları'!A56)</f>
        <v>29</v>
      </c>
    </row>
    <row r="57" spans="1:4" ht="17.25" hidden="1" customHeight="1">
      <c r="A57" s="119">
        <v>56</v>
      </c>
      <c r="B57" s="32" t="s">
        <v>948</v>
      </c>
      <c r="C57" s="30"/>
      <c r="D57" s="31">
        <f>COUNTIF('Giriş Sayfası'!E:E,'Tercih Sayıları'!A57)</f>
        <v>9</v>
      </c>
    </row>
    <row r="58" spans="1:4" ht="17.25" hidden="1" customHeight="1">
      <c r="A58" s="119">
        <v>57</v>
      </c>
      <c r="B58" s="29" t="s">
        <v>552</v>
      </c>
      <c r="C58" s="30"/>
      <c r="D58" s="31">
        <f>COUNTIF('Giriş Sayfası'!E:E,'Tercih Sayıları'!A58)</f>
        <v>5</v>
      </c>
    </row>
    <row r="59" spans="1:4" ht="17.25" hidden="1" customHeight="1">
      <c r="A59" s="119">
        <v>58</v>
      </c>
      <c r="B59" s="32" t="s">
        <v>553</v>
      </c>
      <c r="C59" s="30"/>
      <c r="D59" s="31">
        <f>COUNTIF('Giriş Sayfası'!E:E,'Tercih Sayıları'!A59)</f>
        <v>3</v>
      </c>
    </row>
    <row r="60" spans="1:4" ht="17.25" hidden="1" customHeight="1">
      <c r="A60" s="119">
        <v>59</v>
      </c>
      <c r="B60" s="32" t="s">
        <v>554</v>
      </c>
      <c r="C60" s="30"/>
      <c r="D60" s="31">
        <f>COUNTIF('Giriş Sayfası'!E:E,'Tercih Sayıları'!A60)</f>
        <v>2</v>
      </c>
    </row>
    <row r="61" spans="1:4" ht="17.25" hidden="1" customHeight="1">
      <c r="A61" s="119">
        <v>60</v>
      </c>
      <c r="B61" s="32" t="s">
        <v>555</v>
      </c>
      <c r="C61" s="30"/>
      <c r="D61" s="31">
        <f>COUNTIF('Giriş Sayfası'!E:E,'Tercih Sayıları'!A61)</f>
        <v>5</v>
      </c>
    </row>
    <row r="62" spans="1:4" ht="17.25" hidden="1" customHeight="1">
      <c r="A62" s="119">
        <v>61</v>
      </c>
      <c r="B62" s="29" t="s">
        <v>576</v>
      </c>
      <c r="C62" s="30"/>
      <c r="D62" s="31">
        <f>COUNTIF('Giriş Sayfası'!E:E,'Tercih Sayıları'!A62)</f>
        <v>9</v>
      </c>
    </row>
    <row r="63" spans="1:4" ht="17.25" hidden="1" customHeight="1">
      <c r="A63" s="119">
        <v>62</v>
      </c>
      <c r="B63" s="32" t="s">
        <v>949</v>
      </c>
      <c r="C63" s="30"/>
      <c r="D63" s="31">
        <f>COUNTIF('Giriş Sayfası'!E:E,'Tercih Sayıları'!A63)</f>
        <v>1</v>
      </c>
    </row>
    <row r="64" spans="1:4" ht="17.25" hidden="1" customHeight="1">
      <c r="A64" s="119">
        <v>63</v>
      </c>
      <c r="B64" s="29" t="s">
        <v>579</v>
      </c>
      <c r="C64" s="30"/>
      <c r="D64" s="31">
        <f>COUNTIF('Giriş Sayfası'!E:E,'Tercih Sayıları'!A64)</f>
        <v>4</v>
      </c>
    </row>
    <row r="65" spans="1:4" ht="17.25" hidden="1" customHeight="1">
      <c r="A65" s="119">
        <v>64</v>
      </c>
      <c r="B65" s="32" t="s">
        <v>577</v>
      </c>
      <c r="C65" s="30"/>
      <c r="D65" s="31">
        <f>COUNTIF('Giriş Sayfası'!E:E,'Tercih Sayıları'!A65)</f>
        <v>7</v>
      </c>
    </row>
    <row r="66" spans="1:4" ht="17.25" hidden="1" customHeight="1">
      <c r="A66" s="119">
        <v>65</v>
      </c>
      <c r="B66" s="32" t="s">
        <v>578</v>
      </c>
      <c r="C66" s="30"/>
      <c r="D66" s="31">
        <f>COUNTIF('Giriş Sayfası'!E:E,'Tercih Sayıları'!A66)</f>
        <v>2</v>
      </c>
    </row>
    <row r="67" spans="1:4" ht="17.25" hidden="1" customHeight="1">
      <c r="A67" s="119">
        <v>66</v>
      </c>
      <c r="B67" s="32" t="s">
        <v>958</v>
      </c>
      <c r="C67" s="30"/>
      <c r="D67" s="31">
        <f>COUNTIF('Giriş Sayfası'!E:E,'Tercih Sayıları'!A67)</f>
        <v>1</v>
      </c>
    </row>
    <row r="68" spans="1:4" ht="17.25" hidden="1" customHeight="1">
      <c r="A68" s="119">
        <v>67</v>
      </c>
      <c r="B68" s="32" t="s">
        <v>954</v>
      </c>
      <c r="C68" s="30"/>
      <c r="D68" s="31">
        <f>COUNTIF('Giriş Sayfası'!E:E,'Tercih Sayıları'!A68)</f>
        <v>5</v>
      </c>
    </row>
    <row r="69" spans="1:4" ht="17.25" hidden="1" customHeight="1">
      <c r="A69" s="119">
        <v>68</v>
      </c>
      <c r="B69" s="29" t="s">
        <v>583</v>
      </c>
      <c r="C69" s="30"/>
      <c r="D69" s="31">
        <f>COUNTIF('Giriş Sayfası'!E:E,'Tercih Sayıları'!A69)</f>
        <v>1</v>
      </c>
    </row>
    <row r="70" spans="1:4" ht="17.25" hidden="1" customHeight="1">
      <c r="A70" s="119">
        <v>69</v>
      </c>
      <c r="B70" s="32" t="s">
        <v>585</v>
      </c>
      <c r="C70" s="30"/>
      <c r="D70" s="31">
        <f>COUNTIF('Giriş Sayfası'!E:E,'Tercih Sayıları'!A70)</f>
        <v>2</v>
      </c>
    </row>
    <row r="71" spans="1:4" ht="17.25" hidden="1" customHeight="1">
      <c r="A71" s="119">
        <v>70</v>
      </c>
      <c r="B71" s="32" t="s">
        <v>535</v>
      </c>
      <c r="C71" s="30"/>
      <c r="D71" s="31">
        <f>COUNTIF('Giriş Sayfası'!E:E,'Tercih Sayıları'!A71)</f>
        <v>1</v>
      </c>
    </row>
    <row r="72" spans="1:4" ht="17.25" customHeight="1">
      <c r="A72" s="119">
        <v>71</v>
      </c>
      <c r="B72" s="32" t="s">
        <v>536</v>
      </c>
      <c r="C72" s="30"/>
      <c r="D72" s="31">
        <f>COUNTIF('Giriş Sayfası'!E:E,'Tercih Sayıları'!A72)</f>
        <v>0</v>
      </c>
    </row>
    <row r="73" spans="1:4" ht="17.25" hidden="1" customHeight="1">
      <c r="A73" s="119">
        <v>72</v>
      </c>
      <c r="B73" s="32" t="s">
        <v>582</v>
      </c>
      <c r="C73" s="30"/>
      <c r="D73" s="31">
        <f>COUNTIF('Giriş Sayfası'!E:E,'Tercih Sayıları'!A73)</f>
        <v>3</v>
      </c>
    </row>
    <row r="74" spans="1:4" ht="17.25" hidden="1" customHeight="1">
      <c r="A74" s="119">
        <v>73</v>
      </c>
      <c r="B74" s="29" t="s">
        <v>551</v>
      </c>
      <c r="C74" s="30"/>
      <c r="D74" s="31">
        <f>COUNTIF('Giriş Sayfası'!E:E,'Tercih Sayıları'!A74)</f>
        <v>1</v>
      </c>
    </row>
    <row r="75" spans="1:4" ht="17.25" hidden="1" customHeight="1">
      <c r="A75" s="119">
        <v>74</v>
      </c>
      <c r="B75" s="32" t="s">
        <v>584</v>
      </c>
      <c r="C75" s="30"/>
      <c r="D75" s="31">
        <f>COUNTIF('Giriş Sayfası'!E:E,'Tercih Sayıları'!A75)</f>
        <v>1</v>
      </c>
    </row>
    <row r="76" spans="1:4" ht="17.25" hidden="1" customHeight="1">
      <c r="A76" s="119">
        <v>75</v>
      </c>
      <c r="B76" s="32" t="s">
        <v>959</v>
      </c>
      <c r="C76" s="30"/>
      <c r="D76" s="31">
        <f>COUNTIF('Giriş Sayfası'!E:E,'Tercih Sayıları'!A76)</f>
        <v>1</v>
      </c>
    </row>
    <row r="77" spans="1:4" ht="17.25" hidden="1" customHeight="1">
      <c r="A77" s="119">
        <v>76</v>
      </c>
      <c r="B77" s="32" t="s">
        <v>4</v>
      </c>
      <c r="C77" s="30"/>
      <c r="D77" s="31">
        <f>COUNTIF('Giriş Sayfası'!E:E,'Tercih Sayıları'!A77)</f>
        <v>7</v>
      </c>
    </row>
    <row r="78" spans="1:4" ht="17.25" hidden="1" customHeight="1">
      <c r="A78" s="119">
        <v>77</v>
      </c>
      <c r="B78" s="29" t="s">
        <v>573</v>
      </c>
      <c r="C78" s="30"/>
      <c r="D78" s="31">
        <f>COUNTIF('Giriş Sayfası'!E:E,'Tercih Sayıları'!A78)</f>
        <v>3</v>
      </c>
    </row>
    <row r="79" spans="1:4" ht="17.25" hidden="1" customHeight="1">
      <c r="A79" s="119">
        <v>78</v>
      </c>
      <c r="B79" s="32" t="s">
        <v>574</v>
      </c>
      <c r="C79" s="30"/>
      <c r="D79" s="31">
        <f>COUNTIF('Giriş Sayfası'!E:E,'Tercih Sayıları'!A79)</f>
        <v>7</v>
      </c>
    </row>
    <row r="80" spans="1:4" ht="17.25" hidden="1" customHeight="1">
      <c r="A80" s="119">
        <v>79</v>
      </c>
      <c r="B80" s="32" t="s">
        <v>575</v>
      </c>
      <c r="C80" s="30"/>
      <c r="D80" s="31">
        <f>COUNTIF('Giriş Sayfası'!E:E,'Tercih Sayıları'!A80)</f>
        <v>4</v>
      </c>
    </row>
    <row r="81" spans="1:4" ht="17.25" hidden="1" customHeight="1">
      <c r="A81" s="119">
        <v>80</v>
      </c>
      <c r="B81" s="32" t="s">
        <v>945</v>
      </c>
      <c r="C81" s="30"/>
      <c r="D81" s="31">
        <f>COUNTIF('Giriş Sayfası'!E:E,'Tercih Sayıları'!A81)</f>
        <v>9</v>
      </c>
    </row>
    <row r="82" spans="1:4" ht="17.25" hidden="1" customHeight="1">
      <c r="A82" s="119">
        <v>81</v>
      </c>
      <c r="B82" s="32" t="s">
        <v>546</v>
      </c>
      <c r="C82" s="30"/>
      <c r="D82" s="31">
        <f>COUNTIF('Giriş Sayfası'!E:E,'Tercih Sayıları'!A82)</f>
        <v>16</v>
      </c>
    </row>
    <row r="83" spans="1:4" ht="17.25" hidden="1" customHeight="1">
      <c r="A83" s="119">
        <v>82</v>
      </c>
      <c r="B83" s="32" t="s">
        <v>547</v>
      </c>
      <c r="C83" s="30"/>
      <c r="D83" s="31">
        <f>COUNTIF('Giriş Sayfası'!E:E,'Tercih Sayıları'!A83)</f>
        <v>2</v>
      </c>
    </row>
    <row r="84" spans="1:4" ht="17.25" hidden="1" customHeight="1">
      <c r="A84" s="119">
        <v>83</v>
      </c>
      <c r="B84" s="32" t="s">
        <v>548</v>
      </c>
      <c r="C84" s="30"/>
      <c r="D84" s="31">
        <f>COUNTIF('Giriş Sayfası'!E:E,'Tercih Sayıları'!A84)</f>
        <v>2</v>
      </c>
    </row>
    <row r="85" spans="1:4" ht="17.25" hidden="1" customHeight="1">
      <c r="A85" s="119">
        <v>84</v>
      </c>
      <c r="B85" s="29" t="s">
        <v>237</v>
      </c>
      <c r="C85" s="30"/>
      <c r="D85" s="31">
        <f>COUNTIF('Giriş Sayfası'!E:E,'Tercih Sayıları'!A85)</f>
        <v>15</v>
      </c>
    </row>
    <row r="86" spans="1:4" ht="17.25" hidden="1" customHeight="1">
      <c r="A86" s="119">
        <v>85</v>
      </c>
      <c r="B86" s="32" t="s">
        <v>580</v>
      </c>
      <c r="C86" s="30"/>
      <c r="D86" s="31">
        <f>COUNTIF('Giriş Sayfası'!E:E,'Tercih Sayıları'!A86)</f>
        <v>13</v>
      </c>
    </row>
    <row r="87" spans="1:4" ht="17.25" hidden="1" customHeight="1">
      <c r="A87" s="119">
        <v>86</v>
      </c>
      <c r="B87" s="29" t="s">
        <v>952</v>
      </c>
      <c r="C87" s="30"/>
      <c r="D87" s="31">
        <f>COUNTIF('Giriş Sayfası'!E:E,'Tercih Sayıları'!A87)</f>
        <v>2</v>
      </c>
    </row>
    <row r="88" spans="1:4" ht="17.25" hidden="1" customHeight="1">
      <c r="A88" s="119">
        <v>87</v>
      </c>
      <c r="B88" s="29" t="s">
        <v>566</v>
      </c>
      <c r="C88" s="30"/>
      <c r="D88" s="31">
        <f>COUNTIF('Giriş Sayfası'!E:E,'Tercih Sayıları'!A88)</f>
        <v>2</v>
      </c>
    </row>
    <row r="89" spans="1:4" ht="17.25" hidden="1" customHeight="1">
      <c r="A89" s="119">
        <v>88</v>
      </c>
      <c r="B89" s="32" t="s">
        <v>953</v>
      </c>
      <c r="C89" s="30"/>
      <c r="D89" s="31">
        <f>COUNTIF('Giriş Sayfası'!E:E,'Tercih Sayıları'!A89)</f>
        <v>7</v>
      </c>
    </row>
    <row r="90" spans="1:4" ht="17.25" hidden="1" customHeight="1">
      <c r="A90" s="119">
        <v>89</v>
      </c>
      <c r="B90" s="29" t="s">
        <v>2</v>
      </c>
      <c r="C90" s="30"/>
      <c r="D90" s="31">
        <f>COUNTIF('Giriş Sayfası'!E:E,'Tercih Sayıları'!A90)</f>
        <v>4</v>
      </c>
    </row>
    <row r="91" spans="1:4" ht="17.25" hidden="1" customHeight="1">
      <c r="A91" s="119">
        <v>90</v>
      </c>
      <c r="B91" s="32" t="s">
        <v>937</v>
      </c>
      <c r="C91" s="30"/>
      <c r="D91" s="31">
        <f>COUNTIF('Giriş Sayfası'!E:E,'Tercih Sayıları'!A91)</f>
        <v>4</v>
      </c>
    </row>
    <row r="92" spans="1:4" ht="17.25" customHeight="1">
      <c r="A92" s="119">
        <v>91</v>
      </c>
      <c r="B92" s="32" t="s">
        <v>530</v>
      </c>
      <c r="C92" s="30"/>
      <c r="D92" s="31">
        <f>COUNTIF('Giriş Sayfası'!E:E,'Tercih Sayıları'!A92)</f>
        <v>0</v>
      </c>
    </row>
    <row r="93" spans="1:4" ht="17.25" hidden="1" customHeight="1">
      <c r="A93" s="119">
        <v>92</v>
      </c>
      <c r="B93" s="32" t="s">
        <v>531</v>
      </c>
      <c r="C93" s="30"/>
      <c r="D93" s="31">
        <f>COUNTIF('Giriş Sayfası'!E:E,'Tercih Sayıları'!A93)</f>
        <v>6</v>
      </c>
    </row>
    <row r="94" spans="1:4" ht="17.25" hidden="1" customHeight="1">
      <c r="A94" s="119">
        <v>93</v>
      </c>
      <c r="B94" s="29" t="s">
        <v>942</v>
      </c>
      <c r="C94" s="30"/>
      <c r="D94" s="31">
        <f>COUNTIF('Giriş Sayfası'!E:E,'Tercih Sayıları'!A94)</f>
        <v>2</v>
      </c>
    </row>
    <row r="95" spans="1:4" ht="17.25" hidden="1" customHeight="1">
      <c r="A95" s="119">
        <v>94</v>
      </c>
      <c r="B95" s="29" t="s">
        <v>941</v>
      </c>
      <c r="C95" s="30"/>
      <c r="D95" s="31">
        <f>COUNTIF('Giriş Sayfası'!E:E,'Tercih Sayıları'!A95)</f>
        <v>1</v>
      </c>
    </row>
    <row r="96" spans="1:4" ht="17.25" hidden="1" customHeight="1">
      <c r="A96" s="119">
        <v>95</v>
      </c>
      <c r="B96" s="32" t="s">
        <v>940</v>
      </c>
      <c r="C96" s="30"/>
      <c r="D96" s="31">
        <f>COUNTIF('Giriş Sayfası'!E:E,'Tercih Sayıları'!A96)</f>
        <v>2</v>
      </c>
    </row>
    <row r="97" spans="1:4" ht="18.75" hidden="1" customHeight="1">
      <c r="A97" s="119">
        <v>96</v>
      </c>
      <c r="B97" s="32" t="s">
        <v>938</v>
      </c>
      <c r="C97" s="30"/>
      <c r="D97" s="31">
        <f>COUNTIF('Giriş Sayfası'!E:E,'Tercih Sayıları'!A97)</f>
        <v>7</v>
      </c>
    </row>
    <row r="98" spans="1:4" ht="17.25" hidden="1" customHeight="1">
      <c r="A98" s="119">
        <v>97</v>
      </c>
      <c r="B98" s="32" t="s">
        <v>939</v>
      </c>
      <c r="C98" s="7"/>
      <c r="D98" s="31">
        <f>COUNTIF('Giriş Sayfası'!E:E,'Tercih Sayıları'!A98)</f>
        <v>13</v>
      </c>
    </row>
    <row r="99" spans="1:4" ht="17.25" hidden="1" customHeight="1"/>
    <row r="100" spans="1:4" ht="17.25" hidden="1" customHeight="1"/>
  </sheetData>
  <autoFilter ref="A1:D100">
    <filterColumn colId="3">
      <filters>
        <filter val="0"/>
      </filters>
    </filterColumn>
  </autoFilter>
  <sortState ref="A2:F108">
    <sortCondition ref="A2:A108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>
    <tabColor rgb="FFFFFF00"/>
  </sheetPr>
  <dimension ref="A1:E572"/>
  <sheetViews>
    <sheetView showZeros="0" view="pageBreakPreview" zoomScaleNormal="85" zoomScaleSheetLayoutView="100" workbookViewId="0">
      <selection activeCell="D77" sqref="D77"/>
    </sheetView>
  </sheetViews>
  <sheetFormatPr defaultRowHeight="17.25" customHeight="1"/>
  <cols>
    <col min="1" max="1" width="8.5703125" style="1" bestFit="1" customWidth="1"/>
    <col min="2" max="2" width="60.7109375" style="1" customWidth="1"/>
    <col min="3" max="3" width="7.42578125" style="2" customWidth="1"/>
    <col min="4" max="4" width="36.7109375" style="72" customWidth="1"/>
    <col min="5" max="5" width="36.7109375" style="1" customWidth="1"/>
    <col min="6" max="16384" width="9.140625" style="1"/>
  </cols>
  <sheetData>
    <row r="1" spans="1:5" ht="24.75" customHeight="1">
      <c r="A1" s="179" t="s">
        <v>1439</v>
      </c>
      <c r="B1" s="179"/>
      <c r="C1" s="179"/>
      <c r="D1" s="179"/>
      <c r="E1" s="179"/>
    </row>
    <row r="2" spans="1:5" ht="33" customHeight="1">
      <c r="A2" s="18" t="s">
        <v>610</v>
      </c>
      <c r="B2" s="106" t="s">
        <v>1419</v>
      </c>
      <c r="C2" s="18" t="s">
        <v>613</v>
      </c>
      <c r="D2" s="106" t="s">
        <v>1422</v>
      </c>
      <c r="E2" s="106" t="s">
        <v>1423</v>
      </c>
    </row>
    <row r="3" spans="1:5" s="78" customFormat="1" ht="21.95" customHeight="1">
      <c r="A3" s="73">
        <v>1</v>
      </c>
      <c r="B3" s="74" t="s">
        <v>524</v>
      </c>
      <c r="C3" s="27">
        <f>COUNTIF('Giriş Sayfası'!E:E,'2018-2019 Konuşan'!A3)</f>
        <v>1</v>
      </c>
      <c r="D3" s="76" t="s">
        <v>1418</v>
      </c>
      <c r="E3" s="77" t="s">
        <v>1259</v>
      </c>
    </row>
    <row r="4" spans="1:5" s="78" customFormat="1" ht="21.95" customHeight="1">
      <c r="A4" s="73">
        <v>2</v>
      </c>
      <c r="B4" s="74" t="s">
        <v>529</v>
      </c>
      <c r="C4" s="27">
        <f>COUNTIF('Giriş Sayfası'!E:E,'2018-2019 Konuşan'!A4)</f>
        <v>7</v>
      </c>
      <c r="D4" s="76" t="s">
        <v>1321</v>
      </c>
      <c r="E4" s="77" t="s">
        <v>1289</v>
      </c>
    </row>
    <row r="5" spans="1:5" s="78" customFormat="1" ht="21.95" customHeight="1">
      <c r="A5" s="73">
        <v>3</v>
      </c>
      <c r="B5" s="74" t="s">
        <v>525</v>
      </c>
      <c r="C5" s="27">
        <f>COUNTIF('Giriş Sayfası'!E:E,'2018-2019 Konuşan'!A5)</f>
        <v>1</v>
      </c>
      <c r="D5" s="76" t="s">
        <v>1326</v>
      </c>
      <c r="E5" s="77" t="s">
        <v>1326</v>
      </c>
    </row>
    <row r="6" spans="1:5" s="78" customFormat="1" ht="21.95" customHeight="1">
      <c r="A6" s="73">
        <v>4</v>
      </c>
      <c r="B6" s="74" t="s">
        <v>3</v>
      </c>
      <c r="C6" s="27">
        <f>COUNTIF('Giriş Sayfası'!E:E,'2018-2019 Konuşan'!A6)</f>
        <v>12</v>
      </c>
      <c r="D6" s="76" t="s">
        <v>1247</v>
      </c>
      <c r="E6" s="77" t="s">
        <v>1247</v>
      </c>
    </row>
    <row r="7" spans="1:5" s="78" customFormat="1" ht="21.95" customHeight="1">
      <c r="A7" s="73">
        <v>5</v>
      </c>
      <c r="B7" s="74" t="s">
        <v>532</v>
      </c>
      <c r="C7" s="27">
        <f>COUNTIF('Giriş Sayfası'!E:E,'2018-2019 Konuşan'!A7)</f>
        <v>2</v>
      </c>
      <c r="D7" s="76" t="s">
        <v>1196</v>
      </c>
      <c r="E7" s="77" t="s">
        <v>1196</v>
      </c>
    </row>
    <row r="8" spans="1:5" s="78" customFormat="1" ht="21.95" customHeight="1">
      <c r="A8" s="73">
        <v>6</v>
      </c>
      <c r="B8" s="74" t="s">
        <v>563</v>
      </c>
      <c r="C8" s="27">
        <f>COUNTIF('Giriş Sayfası'!E:E,'2018-2019 Konuşan'!A8)</f>
        <v>1</v>
      </c>
      <c r="D8" s="76" t="s">
        <v>1260</v>
      </c>
      <c r="E8" s="77" t="s">
        <v>1267</v>
      </c>
    </row>
    <row r="9" spans="1:5" s="78" customFormat="1" ht="21.95" customHeight="1">
      <c r="A9" s="73">
        <v>7</v>
      </c>
      <c r="B9" s="74" t="s">
        <v>564</v>
      </c>
      <c r="C9" s="27">
        <f>COUNTIF('Giriş Sayfası'!E:E,'2018-2019 Konuşan'!A9)</f>
        <v>1</v>
      </c>
      <c r="D9" s="76" t="s">
        <v>1260</v>
      </c>
      <c r="E9" s="77" t="s">
        <v>1267</v>
      </c>
    </row>
    <row r="10" spans="1:5" s="78" customFormat="1" ht="21.95" customHeight="1">
      <c r="A10" s="73">
        <v>8</v>
      </c>
      <c r="B10" s="75" t="s">
        <v>565</v>
      </c>
      <c r="C10" s="27">
        <f>COUNTIF('Giriş Sayfası'!E:E,'2018-2019 Konuşan'!A10)</f>
        <v>3</v>
      </c>
      <c r="D10" s="76" t="s">
        <v>1267</v>
      </c>
      <c r="E10" s="77" t="s">
        <v>1267</v>
      </c>
    </row>
    <row r="11" spans="1:5" s="78" customFormat="1" ht="21.95" customHeight="1">
      <c r="A11" s="73">
        <v>9</v>
      </c>
      <c r="B11" s="75" t="s">
        <v>537</v>
      </c>
      <c r="C11" s="27">
        <f>COUNTIF('Giriş Sayfası'!E:E,'2018-2019 Konuşan'!A11)</f>
        <v>17</v>
      </c>
      <c r="D11" s="76" t="s">
        <v>1271</v>
      </c>
      <c r="E11" s="77" t="s">
        <v>1257</v>
      </c>
    </row>
    <row r="12" spans="1:5" s="78" customFormat="1" ht="21.95" customHeight="1">
      <c r="A12" s="73">
        <v>10</v>
      </c>
      <c r="B12" s="75" t="s">
        <v>538</v>
      </c>
      <c r="C12" s="27">
        <f>COUNTIF('Giriş Sayfası'!E:E,'2018-2019 Konuşan'!A12)</f>
        <v>13</v>
      </c>
      <c r="D12" s="120" t="s">
        <v>1432</v>
      </c>
      <c r="E12" s="77" t="s">
        <v>1175</v>
      </c>
    </row>
    <row r="13" spans="1:5" s="78" customFormat="1" ht="21.95" customHeight="1">
      <c r="A13" s="73">
        <v>11</v>
      </c>
      <c r="B13" s="75" t="s">
        <v>539</v>
      </c>
      <c r="C13" s="27">
        <f>COUNTIF('Giriş Sayfası'!E:E,'2018-2019 Konuşan'!A13)</f>
        <v>16</v>
      </c>
      <c r="D13" s="76" t="s">
        <v>1301</v>
      </c>
      <c r="E13" s="77" t="s">
        <v>1229</v>
      </c>
    </row>
    <row r="14" spans="1:5" s="78" customFormat="1" ht="21.95" customHeight="1">
      <c r="A14" s="73">
        <v>12</v>
      </c>
      <c r="B14" s="75" t="s">
        <v>540</v>
      </c>
      <c r="C14" s="27">
        <f>COUNTIF('Giriş Sayfası'!E:E,'2018-2019 Konuşan'!A14)</f>
        <v>1</v>
      </c>
      <c r="D14" s="76" t="s">
        <v>1231</v>
      </c>
      <c r="E14" s="77" t="s">
        <v>1280</v>
      </c>
    </row>
    <row r="15" spans="1:5" s="78" customFormat="1" ht="21.95" customHeight="1">
      <c r="A15" s="73">
        <v>13</v>
      </c>
      <c r="B15" s="75" t="s">
        <v>541</v>
      </c>
      <c r="C15" s="27">
        <f>COUNTIF('Giriş Sayfası'!E:E,'2018-2019 Konuşan'!A15)</f>
        <v>1</v>
      </c>
      <c r="D15" s="76" t="s">
        <v>1325</v>
      </c>
      <c r="E15" s="77" t="s">
        <v>1280</v>
      </c>
    </row>
    <row r="16" spans="1:5" s="78" customFormat="1" ht="21.95" customHeight="1">
      <c r="A16" s="73">
        <v>14</v>
      </c>
      <c r="B16" s="75" t="s">
        <v>542</v>
      </c>
      <c r="C16" s="27">
        <f>COUNTIF('Giriş Sayfası'!E:E,'2018-2019 Konuşan'!A16)</f>
        <v>0</v>
      </c>
      <c r="D16" s="76" t="s">
        <v>1325</v>
      </c>
      <c r="E16" s="77" t="s">
        <v>1280</v>
      </c>
    </row>
    <row r="17" spans="1:5" s="78" customFormat="1" ht="21.95" customHeight="1">
      <c r="A17" s="73">
        <v>15</v>
      </c>
      <c r="B17" s="75" t="s">
        <v>543</v>
      </c>
      <c r="C17" s="27">
        <f>COUNTIF('Giriş Sayfası'!E:E,'2018-2019 Konuşan'!A17)</f>
        <v>4</v>
      </c>
      <c r="D17" s="76" t="s">
        <v>1328</v>
      </c>
      <c r="E17" s="77" t="s">
        <v>1335</v>
      </c>
    </row>
    <row r="18" spans="1:5" s="78" customFormat="1" ht="21.95" customHeight="1">
      <c r="A18" s="73">
        <v>16</v>
      </c>
      <c r="B18" s="75" t="s">
        <v>544</v>
      </c>
      <c r="C18" s="27">
        <f>COUNTIF('Giriş Sayfası'!E:E,'2018-2019 Konuşan'!A18)</f>
        <v>7</v>
      </c>
      <c r="D18" s="76" t="s">
        <v>1328</v>
      </c>
      <c r="E18" s="77" t="s">
        <v>1335</v>
      </c>
    </row>
    <row r="19" spans="1:5" s="78" customFormat="1" ht="21.95" customHeight="1">
      <c r="A19" s="73">
        <v>17</v>
      </c>
      <c r="B19" s="75" t="s">
        <v>955</v>
      </c>
      <c r="C19" s="27">
        <f>COUNTIF('Giriş Sayfası'!E:E,'2018-2019 Konuşan'!A19)</f>
        <v>2</v>
      </c>
      <c r="D19" s="76"/>
      <c r="E19" s="77" t="s">
        <v>1314</v>
      </c>
    </row>
    <row r="20" spans="1:5" s="78" customFormat="1" ht="21.95" customHeight="1">
      <c r="A20" s="73">
        <v>18</v>
      </c>
      <c r="B20" s="75" t="s">
        <v>9</v>
      </c>
      <c r="C20" s="27">
        <f>COUNTIF('Giriş Sayfası'!E:E,'2018-2019 Konuşan'!A20)</f>
        <v>15</v>
      </c>
      <c r="D20" s="76" t="s">
        <v>1295</v>
      </c>
      <c r="E20" s="77" t="s">
        <v>1295</v>
      </c>
    </row>
    <row r="21" spans="1:5" s="78" customFormat="1" ht="21.95" customHeight="1">
      <c r="A21" s="73">
        <v>19</v>
      </c>
      <c r="B21" s="75" t="s">
        <v>615</v>
      </c>
      <c r="C21" s="27">
        <f>COUNTIF('Giriş Sayfası'!E:E,'2018-2019 Konuşan'!A21)</f>
        <v>3</v>
      </c>
      <c r="D21" s="76" t="s">
        <v>1182</v>
      </c>
      <c r="E21" s="77" t="s">
        <v>1329</v>
      </c>
    </row>
    <row r="22" spans="1:5" s="78" customFormat="1" ht="21.95" customHeight="1">
      <c r="A22" s="73">
        <v>20</v>
      </c>
      <c r="B22" s="75" t="s">
        <v>581</v>
      </c>
      <c r="C22" s="27">
        <f>COUNTIF('Giriş Sayfası'!E:E,'2018-2019 Konuşan'!A22)</f>
        <v>2</v>
      </c>
      <c r="D22" s="76" t="s">
        <v>1216</v>
      </c>
      <c r="E22" s="77" t="s">
        <v>1418</v>
      </c>
    </row>
    <row r="23" spans="1:5" s="78" customFormat="1" ht="21.95" customHeight="1">
      <c r="A23" s="73">
        <v>21</v>
      </c>
      <c r="B23" s="75" t="s">
        <v>950</v>
      </c>
      <c r="C23" s="27">
        <f>COUNTIF('Giriş Sayfası'!E:E,'2018-2019 Konuşan'!A23)</f>
        <v>2</v>
      </c>
      <c r="D23" s="76" t="s">
        <v>1202</v>
      </c>
      <c r="E23" s="77" t="s">
        <v>1277</v>
      </c>
    </row>
    <row r="24" spans="1:5" s="78" customFormat="1" ht="21.95" customHeight="1">
      <c r="A24" s="73">
        <v>22</v>
      </c>
      <c r="B24" s="75" t="s">
        <v>956</v>
      </c>
      <c r="C24" s="27">
        <f>COUNTIF('Giriş Sayfası'!E:E,'2018-2019 Konuşan'!A24)</f>
        <v>12</v>
      </c>
      <c r="D24" s="76" t="s">
        <v>1298</v>
      </c>
      <c r="E24" s="77" t="s">
        <v>1302</v>
      </c>
    </row>
    <row r="25" spans="1:5" s="78" customFormat="1" ht="21.95" customHeight="1">
      <c r="A25" s="73">
        <v>23</v>
      </c>
      <c r="B25" s="75" t="s">
        <v>7</v>
      </c>
      <c r="C25" s="27">
        <f>COUNTIF('Giriş Sayfası'!E:E,'2018-2019 Konuşan'!A25)</f>
        <v>10</v>
      </c>
      <c r="D25" s="76" t="s">
        <v>1254</v>
      </c>
      <c r="E25" s="77" t="s">
        <v>1285</v>
      </c>
    </row>
    <row r="26" spans="1:5" s="78" customFormat="1" ht="21.95" customHeight="1">
      <c r="A26" s="73">
        <v>24</v>
      </c>
      <c r="B26" s="75" t="s">
        <v>951</v>
      </c>
      <c r="C26" s="27">
        <f>COUNTIF('Giriş Sayfası'!E:E,'2018-2019 Konuşan'!A26)</f>
        <v>5</v>
      </c>
      <c r="D26" s="76" t="s">
        <v>1236</v>
      </c>
      <c r="E26" s="77" t="s">
        <v>1237</v>
      </c>
    </row>
    <row r="27" spans="1:5" s="78" customFormat="1" ht="21.95" customHeight="1">
      <c r="A27" s="73">
        <v>25</v>
      </c>
      <c r="B27" s="75" t="s">
        <v>550</v>
      </c>
      <c r="C27" s="27">
        <f>COUNTIF('Giriş Sayfası'!E:E,'2018-2019 Konuşan'!A27)</f>
        <v>1</v>
      </c>
      <c r="D27" s="76" t="s">
        <v>1236</v>
      </c>
      <c r="E27" s="77" t="s">
        <v>1233</v>
      </c>
    </row>
    <row r="28" spans="1:5" s="78" customFormat="1" ht="21.95" customHeight="1">
      <c r="A28" s="73">
        <v>26</v>
      </c>
      <c r="B28" s="75" t="s">
        <v>947</v>
      </c>
      <c r="C28" s="27">
        <f>COUNTIF('Giriş Sayfası'!E:E,'2018-2019 Konuşan'!A28)</f>
        <v>21</v>
      </c>
      <c r="D28" s="76" t="s">
        <v>1192</v>
      </c>
      <c r="E28" s="77" t="s">
        <v>1273</v>
      </c>
    </row>
    <row r="29" spans="1:5" s="78" customFormat="1" ht="21.95" customHeight="1">
      <c r="A29" s="73">
        <v>27</v>
      </c>
      <c r="B29" s="75" t="s">
        <v>569</v>
      </c>
      <c r="C29" s="27">
        <f>COUNTIF('Giriş Sayfası'!E:E,'2018-2019 Konuşan'!A29)</f>
        <v>15</v>
      </c>
      <c r="D29" s="76" t="s">
        <v>1186</v>
      </c>
      <c r="E29" s="77" t="s">
        <v>1186</v>
      </c>
    </row>
    <row r="30" spans="1:5" s="78" customFormat="1" ht="21.95" customHeight="1">
      <c r="A30" s="73">
        <v>28</v>
      </c>
      <c r="B30" s="74" t="s">
        <v>570</v>
      </c>
      <c r="C30" s="27">
        <f>COUNTIF('Giriş Sayfası'!E:E,'2018-2019 Konuşan'!A30)</f>
        <v>25</v>
      </c>
      <c r="D30" s="76" t="s">
        <v>1243</v>
      </c>
      <c r="E30" s="77" t="s">
        <v>1205</v>
      </c>
    </row>
    <row r="31" spans="1:5" s="78" customFormat="1" ht="21.95" customHeight="1">
      <c r="A31" s="73">
        <v>29</v>
      </c>
      <c r="B31" s="75" t="s">
        <v>571</v>
      </c>
      <c r="C31" s="27">
        <f>COUNTIF('Giriş Sayfası'!E:E,'2018-2019 Konuşan'!A31)</f>
        <v>6</v>
      </c>
      <c r="D31" s="76" t="s">
        <v>1211</v>
      </c>
      <c r="E31" s="77" t="s">
        <v>1215</v>
      </c>
    </row>
    <row r="32" spans="1:5" s="78" customFormat="1" ht="21.95" customHeight="1">
      <c r="A32" s="73">
        <v>30</v>
      </c>
      <c r="B32" s="75" t="s">
        <v>572</v>
      </c>
      <c r="C32" s="27">
        <f>COUNTIF('Giriş Sayfası'!E:E,'2018-2019 Konuşan'!A32)</f>
        <v>3</v>
      </c>
      <c r="D32" s="76" t="s">
        <v>1199</v>
      </c>
      <c r="E32" s="77" t="s">
        <v>1312</v>
      </c>
    </row>
    <row r="33" spans="1:5" s="78" customFormat="1" ht="21.95" customHeight="1">
      <c r="A33" s="73">
        <v>31</v>
      </c>
      <c r="B33" s="75" t="s">
        <v>946</v>
      </c>
      <c r="C33" s="27">
        <f>COUNTIF('Giriş Sayfası'!E:E,'2018-2019 Konuşan'!A33)</f>
        <v>22</v>
      </c>
      <c r="D33" s="76" t="s">
        <v>1214</v>
      </c>
      <c r="E33" s="77" t="s">
        <v>1330</v>
      </c>
    </row>
    <row r="34" spans="1:5" s="78" customFormat="1" ht="21.95" customHeight="1">
      <c r="A34" s="73">
        <v>32</v>
      </c>
      <c r="B34" s="74" t="s">
        <v>549</v>
      </c>
      <c r="C34" s="27">
        <f>COUNTIF('Giriş Sayfası'!E:E,'2018-2019 Konuşan'!A34)</f>
        <v>3</v>
      </c>
      <c r="D34" s="76" t="s">
        <v>1181</v>
      </c>
      <c r="E34" s="77" t="s">
        <v>1213</v>
      </c>
    </row>
    <row r="35" spans="1:5" s="78" customFormat="1" ht="21.95" customHeight="1">
      <c r="A35" s="73">
        <v>33</v>
      </c>
      <c r="B35" s="75" t="s">
        <v>5</v>
      </c>
      <c r="C35" s="27">
        <f>COUNTIF('Giriş Sayfası'!E:E,'2018-2019 Konuşan'!A35)</f>
        <v>9</v>
      </c>
      <c r="D35" s="76" t="s">
        <v>1268</v>
      </c>
      <c r="E35" s="77" t="s">
        <v>1221</v>
      </c>
    </row>
    <row r="36" spans="1:5" s="78" customFormat="1" ht="21.95" customHeight="1">
      <c r="A36" s="73">
        <v>34</v>
      </c>
      <c r="B36" s="75" t="s">
        <v>8</v>
      </c>
      <c r="C36" s="27">
        <f>COUNTIF('Giriş Sayfası'!E:E,'2018-2019 Konuşan'!A36)</f>
        <v>11</v>
      </c>
      <c r="D36" s="76" t="s">
        <v>1209</v>
      </c>
      <c r="E36" s="77" t="s">
        <v>1421</v>
      </c>
    </row>
    <row r="37" spans="1:5" s="78" customFormat="1" ht="21.95" customHeight="1">
      <c r="A37" s="73">
        <v>35</v>
      </c>
      <c r="B37" s="75" t="s">
        <v>556</v>
      </c>
      <c r="C37" s="27">
        <f>COUNTIF('Giriş Sayfası'!E:E,'2018-2019 Konuşan'!A37)</f>
        <v>3</v>
      </c>
      <c r="D37" s="76" t="s">
        <v>1176</v>
      </c>
      <c r="E37" s="77" t="s">
        <v>1176</v>
      </c>
    </row>
    <row r="38" spans="1:5" s="78" customFormat="1" ht="21.95" customHeight="1">
      <c r="A38" s="73">
        <v>36</v>
      </c>
      <c r="B38" s="74" t="s">
        <v>557</v>
      </c>
      <c r="C38" s="27">
        <f>COUNTIF('Giriş Sayfası'!E:E,'2018-2019 Konuşan'!A38)</f>
        <v>5</v>
      </c>
      <c r="D38" s="76"/>
      <c r="E38" s="77" t="s">
        <v>1176</v>
      </c>
    </row>
    <row r="39" spans="1:5" s="78" customFormat="1" ht="21.95" customHeight="1">
      <c r="A39" s="73">
        <v>37</v>
      </c>
      <c r="B39" s="75" t="s">
        <v>558</v>
      </c>
      <c r="C39" s="27">
        <f>COUNTIF('Giriş Sayfası'!E:E,'2018-2019 Konuşan'!A39)</f>
        <v>4</v>
      </c>
      <c r="D39" s="76" t="s">
        <v>1201</v>
      </c>
      <c r="E39" s="77" t="s">
        <v>1294</v>
      </c>
    </row>
    <row r="40" spans="1:5" s="78" customFormat="1" ht="21.95" customHeight="1">
      <c r="A40" s="73">
        <v>38</v>
      </c>
      <c r="B40" s="74" t="s">
        <v>534</v>
      </c>
      <c r="C40" s="27">
        <f>COUNTIF('Giriş Sayfası'!E:E,'2018-2019 Konuşan'!A40)</f>
        <v>7</v>
      </c>
      <c r="D40" s="76" t="s">
        <v>1195</v>
      </c>
      <c r="E40" s="77" t="s">
        <v>1201</v>
      </c>
    </row>
    <row r="41" spans="1:5" s="78" customFormat="1" ht="21.95" customHeight="1">
      <c r="A41" s="73">
        <v>39</v>
      </c>
      <c r="B41" s="74" t="s">
        <v>545</v>
      </c>
      <c r="C41" s="27">
        <f>COUNTIF('Giriş Sayfası'!E:E,'2018-2019 Konuşan'!A41)</f>
        <v>2</v>
      </c>
      <c r="D41" s="76" t="s">
        <v>1294</v>
      </c>
      <c r="E41" s="77" t="s">
        <v>1201</v>
      </c>
    </row>
    <row r="42" spans="1:5" s="78" customFormat="1" ht="21.95" customHeight="1">
      <c r="A42" s="73">
        <v>40</v>
      </c>
      <c r="B42" s="75" t="s">
        <v>526</v>
      </c>
      <c r="C42" s="27">
        <f>COUNTIF('Giriş Sayfası'!E:E,'2018-2019 Konuşan'!A42)</f>
        <v>0</v>
      </c>
      <c r="D42" s="76" t="s">
        <v>1338</v>
      </c>
      <c r="E42" s="77" t="s">
        <v>1309</v>
      </c>
    </row>
    <row r="43" spans="1:5" s="78" customFormat="1" ht="21.95" customHeight="1">
      <c r="A43" s="73">
        <v>41</v>
      </c>
      <c r="B43" s="75" t="s">
        <v>527</v>
      </c>
      <c r="C43" s="27">
        <f>COUNTIF('Giriş Sayfası'!E:E,'2018-2019 Konuşan'!A43)</f>
        <v>3</v>
      </c>
      <c r="D43" s="76" t="s">
        <v>1278</v>
      </c>
      <c r="E43" s="77" t="s">
        <v>1239</v>
      </c>
    </row>
    <row r="44" spans="1:5" s="78" customFormat="1" ht="21.95" customHeight="1">
      <c r="A44" s="73">
        <v>42</v>
      </c>
      <c r="B44" s="75" t="s">
        <v>528</v>
      </c>
      <c r="C44" s="27">
        <f>COUNTIF('Giriş Sayfası'!E:E,'2018-2019 Konuşan'!A44)</f>
        <v>1</v>
      </c>
      <c r="D44" s="76" t="s">
        <v>1197</v>
      </c>
      <c r="E44" s="77" t="s">
        <v>1195</v>
      </c>
    </row>
    <row r="45" spans="1:5" s="78" customFormat="1" ht="21.95" customHeight="1">
      <c r="A45" s="73">
        <v>43</v>
      </c>
      <c r="B45" s="75" t="s">
        <v>10</v>
      </c>
      <c r="C45" s="27">
        <f>COUNTIF('Giriş Sayfası'!E:E,'2018-2019 Konuşan'!A45)</f>
        <v>11</v>
      </c>
      <c r="D45" s="76" t="s">
        <v>1252</v>
      </c>
      <c r="E45" s="77" t="s">
        <v>1236</v>
      </c>
    </row>
    <row r="46" spans="1:5" s="78" customFormat="1" ht="21.95" customHeight="1">
      <c r="A46" s="73">
        <v>44</v>
      </c>
      <c r="B46" s="75" t="s">
        <v>567</v>
      </c>
      <c r="C46" s="27">
        <f>COUNTIF('Giriş Sayfası'!E:E,'2018-2019 Konuşan'!A46)</f>
        <v>1</v>
      </c>
      <c r="D46" s="76" t="s">
        <v>1344</v>
      </c>
      <c r="E46" s="77" t="s">
        <v>1190</v>
      </c>
    </row>
    <row r="47" spans="1:5" s="78" customFormat="1" ht="21.95" customHeight="1">
      <c r="A47" s="73">
        <v>45</v>
      </c>
      <c r="B47" s="74" t="s">
        <v>943</v>
      </c>
      <c r="C47" s="27">
        <f>COUNTIF('Giriş Sayfası'!E:E,'2018-2019 Konuşan'!A47)</f>
        <v>1</v>
      </c>
      <c r="D47" s="76" t="s">
        <v>1263</v>
      </c>
      <c r="E47" s="77" t="s">
        <v>1223</v>
      </c>
    </row>
    <row r="48" spans="1:5" s="78" customFormat="1" ht="21.95" customHeight="1">
      <c r="A48" s="73">
        <v>46</v>
      </c>
      <c r="B48" s="75" t="s">
        <v>568</v>
      </c>
      <c r="C48" s="27">
        <f>COUNTIF('Giriş Sayfası'!E:E,'2018-2019 Konuşan'!A48)</f>
        <v>10</v>
      </c>
      <c r="D48" s="76" t="s">
        <v>1206</v>
      </c>
      <c r="E48" s="77" t="s">
        <v>1349</v>
      </c>
    </row>
    <row r="49" spans="1:5" s="78" customFormat="1" ht="21.95" customHeight="1">
      <c r="A49" s="73">
        <v>47</v>
      </c>
      <c r="B49" s="75" t="s">
        <v>944</v>
      </c>
      <c r="C49" s="27">
        <f>COUNTIF('Giriş Sayfası'!E:E,'2018-2019 Konuşan'!A49)</f>
        <v>8</v>
      </c>
      <c r="D49" s="76" t="s">
        <v>1348</v>
      </c>
      <c r="E49" s="77" t="s">
        <v>1327</v>
      </c>
    </row>
    <row r="50" spans="1:5" s="78" customFormat="1" ht="21.95" customHeight="1">
      <c r="A50" s="73">
        <v>48</v>
      </c>
      <c r="B50" s="75" t="s">
        <v>957</v>
      </c>
      <c r="C50" s="27">
        <f>COUNTIF('Giriş Sayfası'!E:E,'2018-2019 Konuşan'!A50)</f>
        <v>8</v>
      </c>
      <c r="D50" s="76"/>
      <c r="E50" s="77"/>
    </row>
    <row r="51" spans="1:5" s="78" customFormat="1" ht="21.95" customHeight="1">
      <c r="A51" s="73">
        <v>49</v>
      </c>
      <c r="B51" s="74" t="s">
        <v>6</v>
      </c>
      <c r="C51" s="27">
        <f>COUNTIF('Giriş Sayfası'!E:E,'2018-2019 Konuşan'!A51)</f>
        <v>13</v>
      </c>
      <c r="D51" s="76" t="s">
        <v>1256</v>
      </c>
      <c r="E51" s="77" t="s">
        <v>1290</v>
      </c>
    </row>
    <row r="52" spans="1:5" s="78" customFormat="1" ht="21.95" customHeight="1">
      <c r="A52" s="73">
        <v>50</v>
      </c>
      <c r="B52" s="75" t="s">
        <v>559</v>
      </c>
      <c r="C52" s="27">
        <f>COUNTIF('Giriş Sayfası'!E:E,'2018-2019 Konuşan'!A52)</f>
        <v>7</v>
      </c>
      <c r="D52" s="76" t="s">
        <v>1187</v>
      </c>
      <c r="E52" s="77" t="s">
        <v>1284</v>
      </c>
    </row>
    <row r="53" spans="1:5" s="78" customFormat="1" ht="21.95" customHeight="1">
      <c r="A53" s="73">
        <v>51</v>
      </c>
      <c r="B53" s="75" t="s">
        <v>560</v>
      </c>
      <c r="C53" s="27">
        <f>COUNTIF('Giriş Sayfası'!E:E,'2018-2019 Konuşan'!A53)</f>
        <v>5</v>
      </c>
      <c r="D53" s="76" t="s">
        <v>1240</v>
      </c>
      <c r="E53" s="77" t="s">
        <v>1338</v>
      </c>
    </row>
    <row r="54" spans="1:5" s="78" customFormat="1" ht="21.95" customHeight="1">
      <c r="A54" s="73">
        <v>52</v>
      </c>
      <c r="B54" s="75" t="s">
        <v>561</v>
      </c>
      <c r="C54" s="27">
        <f>COUNTIF('Giriş Sayfası'!E:E,'2018-2019 Konuşan'!A54)</f>
        <v>2</v>
      </c>
      <c r="D54" s="76" t="s">
        <v>1240</v>
      </c>
      <c r="E54" s="77" t="s">
        <v>1240</v>
      </c>
    </row>
    <row r="55" spans="1:5" s="78" customFormat="1" ht="21.95" customHeight="1">
      <c r="A55" s="73">
        <v>53</v>
      </c>
      <c r="B55" s="75" t="s">
        <v>562</v>
      </c>
      <c r="C55" s="27">
        <f>COUNTIF('Giriş Sayfası'!E:E,'2018-2019 Konuşan'!A55)</f>
        <v>13</v>
      </c>
      <c r="D55" s="76" t="s">
        <v>1269</v>
      </c>
      <c r="E55" s="77" t="s">
        <v>1269</v>
      </c>
    </row>
    <row r="56" spans="1:5" s="78" customFormat="1" ht="21.95" customHeight="1">
      <c r="A56" s="73">
        <v>54</v>
      </c>
      <c r="B56" s="75" t="s">
        <v>533</v>
      </c>
      <c r="C56" s="27">
        <f>COUNTIF('Giriş Sayfası'!E:E,'2018-2019 Konuşan'!A56)</f>
        <v>13</v>
      </c>
      <c r="D56" s="76" t="s">
        <v>1245</v>
      </c>
      <c r="E56" s="77" t="s">
        <v>1246</v>
      </c>
    </row>
    <row r="57" spans="1:5" s="78" customFormat="1" ht="21.95" customHeight="1">
      <c r="A57" s="73">
        <v>55</v>
      </c>
      <c r="B57" s="74" t="s">
        <v>238</v>
      </c>
      <c r="C57" s="27">
        <f>COUNTIF('Giriş Sayfası'!E:E,'2018-2019 Konuşan'!A57)</f>
        <v>29</v>
      </c>
      <c r="D57" s="76" t="s">
        <v>1415</v>
      </c>
      <c r="E57" s="77" t="s">
        <v>1415</v>
      </c>
    </row>
    <row r="58" spans="1:5" s="78" customFormat="1" ht="21.95" customHeight="1">
      <c r="A58" s="73">
        <v>56</v>
      </c>
      <c r="B58" s="75" t="s">
        <v>948</v>
      </c>
      <c r="C58" s="27">
        <f>COUNTIF('Giriş Sayfası'!E:E,'2018-2019 Konuşan'!A58)</f>
        <v>9</v>
      </c>
      <c r="D58" s="76" t="s">
        <v>1219</v>
      </c>
      <c r="E58" s="77" t="s">
        <v>1417</v>
      </c>
    </row>
    <row r="59" spans="1:5" s="78" customFormat="1" ht="21.95" customHeight="1">
      <c r="A59" s="73">
        <v>57</v>
      </c>
      <c r="B59" s="74" t="s">
        <v>552</v>
      </c>
      <c r="C59" s="27">
        <f>COUNTIF('Giriş Sayfası'!E:E,'2018-2019 Konuşan'!A59)</f>
        <v>5</v>
      </c>
      <c r="D59" s="76" t="s">
        <v>1334</v>
      </c>
      <c r="E59" s="77" t="s">
        <v>1222</v>
      </c>
    </row>
    <row r="60" spans="1:5" s="78" customFormat="1" ht="21.95" customHeight="1">
      <c r="A60" s="73">
        <v>58</v>
      </c>
      <c r="B60" s="75" t="s">
        <v>553</v>
      </c>
      <c r="C60" s="27">
        <f>COUNTIF('Giriş Sayfası'!E:E,'2018-2019 Konuşan'!A60)</f>
        <v>3</v>
      </c>
      <c r="D60" s="76" t="s">
        <v>1313</v>
      </c>
      <c r="E60" s="77" t="s">
        <v>1344</v>
      </c>
    </row>
    <row r="61" spans="1:5" s="78" customFormat="1" ht="21.95" customHeight="1">
      <c r="A61" s="73">
        <v>59</v>
      </c>
      <c r="B61" s="75" t="s">
        <v>554</v>
      </c>
      <c r="C61" s="27">
        <f>COUNTIF('Giriş Sayfası'!E:E,'2018-2019 Konuşan'!A61)</f>
        <v>2</v>
      </c>
      <c r="D61" s="76" t="s">
        <v>1300</v>
      </c>
      <c r="E61" s="77" t="s">
        <v>1297</v>
      </c>
    </row>
    <row r="62" spans="1:5" s="78" customFormat="1" ht="21.95" customHeight="1">
      <c r="A62" s="73">
        <v>60</v>
      </c>
      <c r="B62" s="75" t="s">
        <v>555</v>
      </c>
      <c r="C62" s="27">
        <f>COUNTIF('Giriş Sayfası'!E:E,'2018-2019 Konuşan'!A62)</f>
        <v>5</v>
      </c>
      <c r="D62" s="76" t="s">
        <v>1327</v>
      </c>
      <c r="E62" s="77" t="s">
        <v>1342</v>
      </c>
    </row>
    <row r="63" spans="1:5" s="78" customFormat="1" ht="21.95" customHeight="1">
      <c r="A63" s="73">
        <v>61</v>
      </c>
      <c r="B63" s="74" t="s">
        <v>576</v>
      </c>
      <c r="C63" s="27">
        <f>COUNTIF('Giriş Sayfası'!E:E,'2018-2019 Konuşan'!A63)</f>
        <v>9</v>
      </c>
      <c r="D63" s="76" t="s">
        <v>1292</v>
      </c>
      <c r="E63" s="77" t="s">
        <v>1310</v>
      </c>
    </row>
    <row r="64" spans="1:5" s="78" customFormat="1" ht="21.95" customHeight="1">
      <c r="A64" s="73">
        <v>62</v>
      </c>
      <c r="B64" s="75" t="s">
        <v>949</v>
      </c>
      <c r="C64" s="27">
        <f>COUNTIF('Giriş Sayfası'!E:E,'2018-2019 Konuşan'!A64)</f>
        <v>1</v>
      </c>
      <c r="D64" s="76" t="s">
        <v>1310</v>
      </c>
      <c r="E64" s="77" t="s">
        <v>1318</v>
      </c>
    </row>
    <row r="65" spans="1:5" s="78" customFormat="1" ht="21.95" customHeight="1">
      <c r="A65" s="73">
        <v>63</v>
      </c>
      <c r="B65" s="74" t="s">
        <v>579</v>
      </c>
      <c r="C65" s="27">
        <f>COUNTIF('Giriş Sayfası'!E:E,'2018-2019 Konuşan'!A65)</f>
        <v>4</v>
      </c>
      <c r="D65" s="76" t="s">
        <v>1310</v>
      </c>
      <c r="E65" s="77" t="s">
        <v>1288</v>
      </c>
    </row>
    <row r="66" spans="1:5" s="78" customFormat="1" ht="21.95" customHeight="1">
      <c r="A66" s="73">
        <v>64</v>
      </c>
      <c r="B66" s="75" t="s">
        <v>577</v>
      </c>
      <c r="C66" s="27">
        <f>COUNTIF('Giriş Sayfası'!E:E,'2018-2019 Konuşan'!A66)</f>
        <v>7</v>
      </c>
      <c r="D66" s="76" t="s">
        <v>1234</v>
      </c>
      <c r="E66" s="77" t="s">
        <v>1263</v>
      </c>
    </row>
    <row r="67" spans="1:5" s="78" customFormat="1" ht="21.95" customHeight="1">
      <c r="A67" s="73">
        <v>65</v>
      </c>
      <c r="B67" s="75" t="s">
        <v>578</v>
      </c>
      <c r="C67" s="27">
        <f>COUNTIF('Giriş Sayfası'!E:E,'2018-2019 Konuşan'!A67)</f>
        <v>2</v>
      </c>
      <c r="D67" s="76" t="s">
        <v>1234</v>
      </c>
      <c r="E67" s="77" t="s">
        <v>1234</v>
      </c>
    </row>
    <row r="68" spans="1:5" s="78" customFormat="1" ht="21.95" customHeight="1">
      <c r="A68" s="73">
        <v>66</v>
      </c>
      <c r="B68" s="75" t="s">
        <v>958</v>
      </c>
      <c r="C68" s="27">
        <f>COUNTIF('Giriş Sayfası'!E:E,'2018-2019 Konuşan'!A68)</f>
        <v>1</v>
      </c>
      <c r="D68" s="76"/>
      <c r="E68" s="77" t="s">
        <v>1185</v>
      </c>
    </row>
    <row r="69" spans="1:5" s="78" customFormat="1" ht="21.95" customHeight="1">
      <c r="A69" s="73">
        <v>67</v>
      </c>
      <c r="B69" s="75" t="s">
        <v>954</v>
      </c>
      <c r="C69" s="27">
        <f>COUNTIF('Giriş Sayfası'!E:E,'2018-2019 Konuşan'!A69)</f>
        <v>5</v>
      </c>
      <c r="D69" s="76" t="s">
        <v>1416</v>
      </c>
      <c r="E69" s="77" t="s">
        <v>1241</v>
      </c>
    </row>
    <row r="70" spans="1:5" s="78" customFormat="1" ht="21.95" customHeight="1">
      <c r="A70" s="73">
        <v>68</v>
      </c>
      <c r="B70" s="74" t="s">
        <v>583</v>
      </c>
      <c r="C70" s="27">
        <f>COUNTIF('Giriş Sayfası'!E:E,'2018-2019 Konuşan'!A70)</f>
        <v>1</v>
      </c>
      <c r="D70" s="76" t="s">
        <v>1319</v>
      </c>
      <c r="E70" s="77" t="s">
        <v>1313</v>
      </c>
    </row>
    <row r="71" spans="1:5" s="78" customFormat="1" ht="21.95" customHeight="1">
      <c r="A71" s="73">
        <v>69</v>
      </c>
      <c r="B71" s="75" t="s">
        <v>585</v>
      </c>
      <c r="C71" s="27">
        <f>COUNTIF('Giriş Sayfası'!E:E,'2018-2019 Konuşan'!A71)</f>
        <v>2</v>
      </c>
      <c r="D71" s="76" t="s">
        <v>1198</v>
      </c>
      <c r="E71" s="77" t="s">
        <v>1231</v>
      </c>
    </row>
    <row r="72" spans="1:5" s="78" customFormat="1" ht="21.95" customHeight="1">
      <c r="A72" s="73">
        <v>70</v>
      </c>
      <c r="B72" s="75" t="s">
        <v>535</v>
      </c>
      <c r="C72" s="27">
        <f>COUNTIF('Giriş Sayfası'!E:E,'2018-2019 Konuşan'!A72)</f>
        <v>1</v>
      </c>
      <c r="D72" s="76" t="s">
        <v>1193</v>
      </c>
      <c r="E72" s="77" t="s">
        <v>1304</v>
      </c>
    </row>
    <row r="73" spans="1:5" s="78" customFormat="1" ht="21.95" customHeight="1">
      <c r="A73" s="73">
        <v>71</v>
      </c>
      <c r="B73" s="75" t="s">
        <v>536</v>
      </c>
      <c r="C73" s="27">
        <f>COUNTIF('Giriş Sayfası'!E:E,'2018-2019 Konuşan'!A73)</f>
        <v>0</v>
      </c>
      <c r="D73" s="76" t="s">
        <v>1218</v>
      </c>
      <c r="E73" s="77" t="s">
        <v>1304</v>
      </c>
    </row>
    <row r="74" spans="1:5" s="78" customFormat="1" ht="21.95" customHeight="1">
      <c r="A74" s="73">
        <v>72</v>
      </c>
      <c r="B74" s="75" t="s">
        <v>582</v>
      </c>
      <c r="C74" s="27">
        <f>COUNTIF('Giriş Sayfası'!E:E,'2018-2019 Konuşan'!A74)</f>
        <v>3</v>
      </c>
      <c r="D74" s="76" t="s">
        <v>1172</v>
      </c>
      <c r="E74" s="77" t="s">
        <v>1416</v>
      </c>
    </row>
    <row r="75" spans="1:5" s="78" customFormat="1" ht="21.95" customHeight="1">
      <c r="A75" s="73">
        <v>73</v>
      </c>
      <c r="B75" s="74" t="s">
        <v>551</v>
      </c>
      <c r="C75" s="27">
        <f>COUNTIF('Giriş Sayfası'!E:E,'2018-2019 Konuşan'!A75)</f>
        <v>1</v>
      </c>
      <c r="D75" s="76" t="s">
        <v>1191</v>
      </c>
      <c r="E75" s="77" t="s">
        <v>1231</v>
      </c>
    </row>
    <row r="76" spans="1:5" s="78" customFormat="1" ht="21.95" customHeight="1">
      <c r="A76" s="73">
        <v>74</v>
      </c>
      <c r="B76" s="75" t="s">
        <v>584</v>
      </c>
      <c r="C76" s="27">
        <f>COUNTIF('Giriş Sayfası'!E:E,'2018-2019 Konuşan'!A76)</f>
        <v>1</v>
      </c>
      <c r="D76" s="76" t="s">
        <v>1217</v>
      </c>
      <c r="E76" s="77" t="s">
        <v>1226</v>
      </c>
    </row>
    <row r="77" spans="1:5" s="78" customFormat="1" ht="21.95" customHeight="1">
      <c r="A77" s="73">
        <v>75</v>
      </c>
      <c r="B77" s="75" t="s">
        <v>959</v>
      </c>
      <c r="C77" s="27">
        <f>COUNTIF('Giriş Sayfası'!E:E,'2018-2019 Konuşan'!A77)</f>
        <v>1</v>
      </c>
      <c r="D77" s="76"/>
      <c r="E77" s="77"/>
    </row>
    <row r="78" spans="1:5" s="78" customFormat="1" ht="21.95" customHeight="1">
      <c r="A78" s="73">
        <v>76</v>
      </c>
      <c r="B78" s="75" t="s">
        <v>4</v>
      </c>
      <c r="C78" s="27">
        <f>COUNTIF('Giriş Sayfası'!E:E,'2018-2019 Konuşan'!A78)</f>
        <v>7</v>
      </c>
      <c r="D78" s="76" t="s">
        <v>1183</v>
      </c>
      <c r="E78" s="77" t="s">
        <v>1343</v>
      </c>
    </row>
    <row r="79" spans="1:5" s="78" customFormat="1" ht="21.95" customHeight="1">
      <c r="A79" s="73">
        <v>77</v>
      </c>
      <c r="B79" s="74" t="s">
        <v>573</v>
      </c>
      <c r="C79" s="27">
        <f>COUNTIF('Giriş Sayfası'!E:E,'2018-2019 Konuşan'!A79)</f>
        <v>3</v>
      </c>
      <c r="D79" s="76" t="s">
        <v>1282</v>
      </c>
      <c r="E79" s="77" t="s">
        <v>1286</v>
      </c>
    </row>
    <row r="80" spans="1:5" s="78" customFormat="1" ht="21.95" customHeight="1">
      <c r="A80" s="73">
        <v>78</v>
      </c>
      <c r="B80" s="75" t="s">
        <v>574</v>
      </c>
      <c r="C80" s="27">
        <f>COUNTIF('Giriş Sayfası'!E:E,'2018-2019 Konuşan'!A80)</f>
        <v>7</v>
      </c>
      <c r="D80" s="76" t="s">
        <v>1314</v>
      </c>
      <c r="E80" s="77" t="s">
        <v>1317</v>
      </c>
    </row>
    <row r="81" spans="1:5" s="78" customFormat="1" ht="21.95" customHeight="1">
      <c r="A81" s="73">
        <v>79</v>
      </c>
      <c r="B81" s="75" t="s">
        <v>575</v>
      </c>
      <c r="C81" s="27">
        <f>COUNTIF('Giriş Sayfası'!E:E,'2018-2019 Konuşan'!A81)</f>
        <v>4</v>
      </c>
      <c r="D81" s="76" t="s">
        <v>1317</v>
      </c>
      <c r="E81" s="77" t="s">
        <v>1207</v>
      </c>
    </row>
    <row r="82" spans="1:5" s="78" customFormat="1" ht="21.95" customHeight="1">
      <c r="A82" s="73">
        <v>80</v>
      </c>
      <c r="B82" s="75" t="s">
        <v>945</v>
      </c>
      <c r="C82" s="27">
        <f>COUNTIF('Giriş Sayfası'!E:E,'2018-2019 Konuşan'!A82)</f>
        <v>9</v>
      </c>
      <c r="D82" s="76" t="s">
        <v>1283</v>
      </c>
      <c r="E82" s="77" t="s">
        <v>1245</v>
      </c>
    </row>
    <row r="83" spans="1:5" s="78" customFormat="1" ht="21.95" customHeight="1">
      <c r="A83" s="73">
        <v>81</v>
      </c>
      <c r="B83" s="75" t="s">
        <v>546</v>
      </c>
      <c r="C83" s="27">
        <f>COUNTIF('Giriş Sayfası'!E:E,'2018-2019 Konuşan'!A83)</f>
        <v>16</v>
      </c>
      <c r="D83" s="76" t="s">
        <v>1238</v>
      </c>
      <c r="E83" s="77" t="s">
        <v>1200</v>
      </c>
    </row>
    <row r="84" spans="1:5" s="78" customFormat="1" ht="21.95" customHeight="1">
      <c r="A84" s="73">
        <v>82</v>
      </c>
      <c r="B84" s="75" t="s">
        <v>547</v>
      </c>
      <c r="C84" s="27">
        <f>COUNTIF('Giriş Sayfası'!E:E,'2018-2019 Konuşan'!A84)</f>
        <v>2</v>
      </c>
      <c r="D84" s="76" t="s">
        <v>1185</v>
      </c>
      <c r="E84" s="77" t="s">
        <v>1293</v>
      </c>
    </row>
    <row r="85" spans="1:5" s="78" customFormat="1" ht="21.95" customHeight="1">
      <c r="A85" s="73">
        <v>83</v>
      </c>
      <c r="B85" s="75" t="s">
        <v>548</v>
      </c>
      <c r="C85" s="27">
        <f>COUNTIF('Giriş Sayfası'!E:E,'2018-2019 Konuşan'!A85)</f>
        <v>2</v>
      </c>
      <c r="D85" s="76" t="s">
        <v>1318</v>
      </c>
      <c r="E85" s="77" t="s">
        <v>1228</v>
      </c>
    </row>
    <row r="86" spans="1:5" s="78" customFormat="1" ht="21.95" customHeight="1">
      <c r="A86" s="73">
        <v>84</v>
      </c>
      <c r="B86" s="74" t="s">
        <v>237</v>
      </c>
      <c r="C86" s="27">
        <f>COUNTIF('Giriş Sayfası'!E:E,'2018-2019 Konuşan'!A86)</f>
        <v>15</v>
      </c>
      <c r="D86" s="76" t="s">
        <v>1174</v>
      </c>
      <c r="E86" s="77" t="s">
        <v>1291</v>
      </c>
    </row>
    <row r="87" spans="1:5" s="78" customFormat="1" ht="21.95" customHeight="1">
      <c r="A87" s="73">
        <v>85</v>
      </c>
      <c r="B87" s="75" t="s">
        <v>580</v>
      </c>
      <c r="C87" s="27">
        <f>COUNTIF('Giriş Sayfası'!E:E,'2018-2019 Konuşan'!A87)</f>
        <v>13</v>
      </c>
      <c r="D87" s="76" t="s">
        <v>1293</v>
      </c>
      <c r="E87" s="77" t="s">
        <v>1274</v>
      </c>
    </row>
    <row r="88" spans="1:5" s="78" customFormat="1" ht="21.95" customHeight="1">
      <c r="A88" s="73">
        <v>86</v>
      </c>
      <c r="B88" s="74" t="s">
        <v>952</v>
      </c>
      <c r="C88" s="27">
        <f>COUNTIF('Giriş Sayfası'!E:E,'2018-2019 Konuşan'!A88)</f>
        <v>2</v>
      </c>
      <c r="D88" s="76" t="s">
        <v>1235</v>
      </c>
      <c r="E88" s="77" t="s">
        <v>1218</v>
      </c>
    </row>
    <row r="89" spans="1:5" s="78" customFormat="1" ht="21.95" customHeight="1">
      <c r="A89" s="73">
        <v>87</v>
      </c>
      <c r="B89" s="74" t="s">
        <v>566</v>
      </c>
      <c r="C89" s="27">
        <f>COUNTIF('Giriş Sayfası'!E:E,'2018-2019 Konuşan'!A89)</f>
        <v>2</v>
      </c>
      <c r="D89" s="76" t="s">
        <v>1225</v>
      </c>
      <c r="E89" s="77" t="s">
        <v>1266</v>
      </c>
    </row>
    <row r="90" spans="1:5" s="78" customFormat="1" ht="21.95" customHeight="1">
      <c r="A90" s="73">
        <v>88</v>
      </c>
      <c r="B90" s="75" t="s">
        <v>953</v>
      </c>
      <c r="C90" s="27">
        <f>COUNTIF('Giriş Sayfası'!E:E,'2018-2019 Konuşan'!A90)</f>
        <v>7</v>
      </c>
      <c r="D90" s="76" t="s">
        <v>1276</v>
      </c>
      <c r="E90" s="77" t="s">
        <v>1266</v>
      </c>
    </row>
    <row r="91" spans="1:5" s="78" customFormat="1" ht="21.95" customHeight="1">
      <c r="A91" s="73">
        <v>89</v>
      </c>
      <c r="B91" s="74" t="s">
        <v>2</v>
      </c>
      <c r="C91" s="27">
        <f>COUNTIF('Giriş Sayfası'!E:E,'2018-2019 Konuşan'!A91)</f>
        <v>4</v>
      </c>
      <c r="D91" s="76" t="s">
        <v>1299</v>
      </c>
      <c r="E91" s="77" t="s">
        <v>1345</v>
      </c>
    </row>
    <row r="92" spans="1:5" s="78" customFormat="1" ht="21.95" customHeight="1">
      <c r="A92" s="73">
        <v>90</v>
      </c>
      <c r="B92" s="75" t="s">
        <v>937</v>
      </c>
      <c r="C92" s="27">
        <f>COUNTIF('Giriş Sayfası'!E:E,'2018-2019 Konuşan'!A92)</f>
        <v>4</v>
      </c>
      <c r="D92" s="76" t="s">
        <v>1311</v>
      </c>
      <c r="E92" s="77" t="s">
        <v>1187</v>
      </c>
    </row>
    <row r="93" spans="1:5" s="78" customFormat="1" ht="21.95" customHeight="1">
      <c r="A93" s="73">
        <v>91</v>
      </c>
      <c r="B93" s="75" t="s">
        <v>530</v>
      </c>
      <c r="C93" s="27">
        <f>COUNTIF('Giriş Sayfası'!E:E,'2018-2019 Konuşan'!A93)</f>
        <v>0</v>
      </c>
      <c r="D93" s="76" t="s">
        <v>1272</v>
      </c>
      <c r="E93" s="77" t="s">
        <v>1217</v>
      </c>
    </row>
    <row r="94" spans="1:5" s="78" customFormat="1" ht="21.95" customHeight="1">
      <c r="A94" s="73">
        <v>92</v>
      </c>
      <c r="B94" s="75" t="s">
        <v>531</v>
      </c>
      <c r="C94" s="27">
        <f>COUNTIF('Giriş Sayfası'!E:E,'2018-2019 Konuşan'!A94)</f>
        <v>6</v>
      </c>
      <c r="D94" s="76" t="s">
        <v>1303</v>
      </c>
      <c r="E94" s="77" t="s">
        <v>1276</v>
      </c>
    </row>
    <row r="95" spans="1:5" s="78" customFormat="1" ht="21.95" customHeight="1">
      <c r="A95" s="73">
        <v>93</v>
      </c>
      <c r="B95" s="74" t="s">
        <v>942</v>
      </c>
      <c r="C95" s="27">
        <f>COUNTIF('Giriş Sayfası'!E:E,'2018-2019 Konuşan'!A95)</f>
        <v>2</v>
      </c>
      <c r="D95" s="76" t="s">
        <v>1308</v>
      </c>
      <c r="E95" s="77" t="s">
        <v>1253</v>
      </c>
    </row>
    <row r="96" spans="1:5" s="78" customFormat="1" ht="21.95" customHeight="1">
      <c r="A96" s="73">
        <v>94</v>
      </c>
      <c r="B96" s="74" t="s">
        <v>941</v>
      </c>
      <c r="C96" s="27">
        <f>COUNTIF('Giriş Sayfası'!E:E,'2018-2019 Konuşan'!A96)</f>
        <v>1</v>
      </c>
      <c r="D96" s="76" t="s">
        <v>1308</v>
      </c>
      <c r="E96" s="77" t="s">
        <v>1339</v>
      </c>
    </row>
    <row r="97" spans="1:5" s="78" customFormat="1" ht="21.95" customHeight="1">
      <c r="A97" s="73">
        <v>95</v>
      </c>
      <c r="B97" s="75" t="s">
        <v>940</v>
      </c>
      <c r="C97" s="27">
        <f>COUNTIF('Giriş Sayfası'!E:E,'2018-2019 Konuşan'!A97)</f>
        <v>2</v>
      </c>
      <c r="D97" s="76" t="s">
        <v>1258</v>
      </c>
      <c r="E97" s="77" t="s">
        <v>1341</v>
      </c>
    </row>
    <row r="98" spans="1:5" s="78" customFormat="1" ht="21.95" customHeight="1">
      <c r="A98" s="73">
        <v>96</v>
      </c>
      <c r="B98" s="75" t="s">
        <v>938</v>
      </c>
      <c r="C98" s="27">
        <f>COUNTIF('Giriş Sayfası'!E:E,'2018-2019 Konuşan'!A98)</f>
        <v>7</v>
      </c>
      <c r="D98" s="76" t="s">
        <v>1303</v>
      </c>
      <c r="E98" s="77" t="s">
        <v>1321</v>
      </c>
    </row>
    <row r="99" spans="1:5" s="78" customFormat="1" ht="21.95" customHeight="1">
      <c r="A99" s="73">
        <v>97</v>
      </c>
      <c r="B99" s="75" t="s">
        <v>939</v>
      </c>
      <c r="C99" s="27">
        <f>COUNTIF('Giriş Sayfası'!E:E,'2018-2019 Konuşan'!A99)</f>
        <v>13</v>
      </c>
      <c r="D99" s="76" t="s">
        <v>1322</v>
      </c>
      <c r="E99" s="77" t="s">
        <v>1322</v>
      </c>
    </row>
    <row r="100" spans="1:5" ht="17.25" customHeight="1">
      <c r="E100" s="71"/>
    </row>
    <row r="101" spans="1:5" ht="17.25" customHeight="1">
      <c r="E101" s="71"/>
    </row>
    <row r="102" spans="1:5" ht="17.25" customHeight="1">
      <c r="E102" s="71"/>
    </row>
    <row r="103" spans="1:5" ht="17.25" customHeight="1">
      <c r="E103" s="71"/>
    </row>
    <row r="104" spans="1:5" ht="17.25" customHeight="1">
      <c r="E104" s="71"/>
    </row>
    <row r="105" spans="1:5" ht="17.25" customHeight="1">
      <c r="E105" s="71"/>
    </row>
    <row r="106" spans="1:5" ht="17.25" customHeight="1">
      <c r="E106" s="71"/>
    </row>
    <row r="107" spans="1:5" ht="17.25" customHeight="1">
      <c r="E107" s="71"/>
    </row>
    <row r="108" spans="1:5" ht="17.25" customHeight="1">
      <c r="E108" s="71"/>
    </row>
    <row r="109" spans="1:5" ht="17.25" customHeight="1">
      <c r="E109" s="71"/>
    </row>
    <row r="110" spans="1:5" ht="17.25" customHeight="1">
      <c r="E110" s="71"/>
    </row>
    <row r="111" spans="1:5" ht="17.25" customHeight="1">
      <c r="E111" s="71"/>
    </row>
    <row r="112" spans="1:5" ht="17.25" customHeight="1">
      <c r="E112" s="71"/>
    </row>
    <row r="113" spans="5:5" ht="17.25" customHeight="1">
      <c r="E113" s="71"/>
    </row>
    <row r="114" spans="5:5" ht="17.25" customHeight="1">
      <c r="E114" s="71"/>
    </row>
    <row r="115" spans="5:5" ht="17.25" customHeight="1">
      <c r="E115" s="71"/>
    </row>
    <row r="116" spans="5:5" ht="17.25" customHeight="1">
      <c r="E116" s="71"/>
    </row>
    <row r="117" spans="5:5" ht="17.25" customHeight="1">
      <c r="E117" s="71"/>
    </row>
    <row r="118" spans="5:5" ht="17.25" customHeight="1">
      <c r="E118" s="71"/>
    </row>
    <row r="119" spans="5:5" ht="17.25" customHeight="1">
      <c r="E119" s="71"/>
    </row>
    <row r="120" spans="5:5" ht="17.25" customHeight="1">
      <c r="E120" s="71"/>
    </row>
    <row r="121" spans="5:5" ht="17.25" customHeight="1">
      <c r="E121" s="71"/>
    </row>
    <row r="122" spans="5:5" ht="17.25" customHeight="1">
      <c r="E122" s="71"/>
    </row>
    <row r="123" spans="5:5" ht="17.25" customHeight="1">
      <c r="E123" s="71"/>
    </row>
    <row r="124" spans="5:5" ht="17.25" customHeight="1">
      <c r="E124" s="71"/>
    </row>
    <row r="125" spans="5:5" ht="17.25" customHeight="1">
      <c r="E125" s="71"/>
    </row>
    <row r="126" spans="5:5" ht="17.25" customHeight="1">
      <c r="E126" s="71"/>
    </row>
    <row r="127" spans="5:5" ht="17.25" customHeight="1">
      <c r="E127" s="71"/>
    </row>
    <row r="128" spans="5:5" ht="17.25" customHeight="1">
      <c r="E128" s="71"/>
    </row>
    <row r="129" spans="5:5" ht="17.25" customHeight="1">
      <c r="E129" s="71"/>
    </row>
    <row r="130" spans="5:5" ht="17.25" customHeight="1">
      <c r="E130" s="71"/>
    </row>
    <row r="131" spans="5:5" ht="17.25" customHeight="1">
      <c r="E131" s="71"/>
    </row>
    <row r="132" spans="5:5" ht="17.25" customHeight="1">
      <c r="E132" s="71"/>
    </row>
    <row r="133" spans="5:5" ht="17.25" customHeight="1">
      <c r="E133" s="71"/>
    </row>
    <row r="134" spans="5:5" ht="17.25" customHeight="1">
      <c r="E134" s="71"/>
    </row>
    <row r="135" spans="5:5" ht="17.25" customHeight="1">
      <c r="E135" s="71"/>
    </row>
    <row r="136" spans="5:5" ht="17.25" customHeight="1">
      <c r="E136" s="71"/>
    </row>
    <row r="137" spans="5:5" ht="17.25" customHeight="1">
      <c r="E137" s="71"/>
    </row>
    <row r="138" spans="5:5" ht="17.25" customHeight="1">
      <c r="E138" s="71"/>
    </row>
    <row r="139" spans="5:5" ht="17.25" customHeight="1">
      <c r="E139" s="71"/>
    </row>
    <row r="140" spans="5:5" ht="17.25" customHeight="1">
      <c r="E140" s="71"/>
    </row>
    <row r="141" spans="5:5" ht="17.25" customHeight="1">
      <c r="E141" s="71"/>
    </row>
    <row r="142" spans="5:5" ht="17.25" customHeight="1">
      <c r="E142" s="71"/>
    </row>
    <row r="143" spans="5:5" ht="17.25" customHeight="1">
      <c r="E143" s="71"/>
    </row>
    <row r="144" spans="5:5" ht="17.25" customHeight="1">
      <c r="E144" s="71"/>
    </row>
    <row r="145" spans="5:5" ht="17.25" customHeight="1">
      <c r="E145" s="71"/>
    </row>
    <row r="146" spans="5:5" ht="17.25" customHeight="1">
      <c r="E146" s="71"/>
    </row>
    <row r="147" spans="5:5" ht="17.25" customHeight="1">
      <c r="E147" s="71"/>
    </row>
    <row r="148" spans="5:5" ht="17.25" customHeight="1">
      <c r="E148" s="71"/>
    </row>
    <row r="149" spans="5:5" ht="17.25" customHeight="1">
      <c r="E149" s="71"/>
    </row>
    <row r="150" spans="5:5" ht="17.25" customHeight="1">
      <c r="E150" s="71"/>
    </row>
    <row r="151" spans="5:5" ht="17.25" customHeight="1">
      <c r="E151" s="71"/>
    </row>
    <row r="152" spans="5:5" ht="17.25" customHeight="1">
      <c r="E152" s="71"/>
    </row>
    <row r="153" spans="5:5" ht="17.25" customHeight="1">
      <c r="E153" s="71"/>
    </row>
    <row r="154" spans="5:5" ht="17.25" customHeight="1">
      <c r="E154" s="71"/>
    </row>
    <row r="155" spans="5:5" ht="17.25" customHeight="1">
      <c r="E155" s="71"/>
    </row>
    <row r="156" spans="5:5" ht="17.25" customHeight="1">
      <c r="E156" s="71"/>
    </row>
    <row r="157" spans="5:5" ht="17.25" customHeight="1">
      <c r="E157" s="71"/>
    </row>
    <row r="158" spans="5:5" ht="17.25" customHeight="1">
      <c r="E158" s="71"/>
    </row>
    <row r="159" spans="5:5" ht="17.25" customHeight="1">
      <c r="E159" s="71"/>
    </row>
    <row r="160" spans="5:5" ht="17.25" customHeight="1">
      <c r="E160" s="71"/>
    </row>
    <row r="161" spans="5:5" ht="17.25" customHeight="1">
      <c r="E161" s="71"/>
    </row>
    <row r="162" spans="5:5" ht="17.25" customHeight="1">
      <c r="E162" s="71"/>
    </row>
    <row r="163" spans="5:5" ht="17.25" customHeight="1">
      <c r="E163" s="71"/>
    </row>
    <row r="164" spans="5:5" ht="17.25" customHeight="1">
      <c r="E164" s="71"/>
    </row>
    <row r="165" spans="5:5" ht="17.25" customHeight="1">
      <c r="E165" s="71"/>
    </row>
    <row r="166" spans="5:5" ht="17.25" customHeight="1">
      <c r="E166" s="71"/>
    </row>
    <row r="167" spans="5:5" ht="17.25" customHeight="1">
      <c r="E167" s="71"/>
    </row>
    <row r="168" spans="5:5" ht="17.25" customHeight="1">
      <c r="E168" s="71"/>
    </row>
    <row r="169" spans="5:5" ht="17.25" customHeight="1">
      <c r="E169" s="71"/>
    </row>
    <row r="170" spans="5:5" ht="17.25" customHeight="1">
      <c r="E170" s="71"/>
    </row>
    <row r="171" spans="5:5" ht="17.25" customHeight="1">
      <c r="E171" s="71"/>
    </row>
    <row r="172" spans="5:5" ht="17.25" customHeight="1">
      <c r="E172" s="71"/>
    </row>
    <row r="173" spans="5:5" ht="17.25" customHeight="1">
      <c r="E173" s="71"/>
    </row>
    <row r="174" spans="5:5" ht="17.25" customHeight="1">
      <c r="E174" s="71"/>
    </row>
    <row r="175" spans="5:5" ht="17.25" customHeight="1">
      <c r="E175" s="71"/>
    </row>
    <row r="176" spans="5:5" ht="17.25" customHeight="1">
      <c r="E176" s="71"/>
    </row>
    <row r="177" spans="5:5" ht="17.25" customHeight="1">
      <c r="E177" s="71"/>
    </row>
    <row r="178" spans="5:5" ht="17.25" customHeight="1">
      <c r="E178" s="71"/>
    </row>
    <row r="179" spans="5:5" ht="17.25" customHeight="1">
      <c r="E179" s="71"/>
    </row>
    <row r="180" spans="5:5" ht="17.25" customHeight="1">
      <c r="E180" s="71"/>
    </row>
    <row r="181" spans="5:5" ht="17.25" customHeight="1">
      <c r="E181" s="71"/>
    </row>
    <row r="182" spans="5:5" ht="17.25" customHeight="1">
      <c r="E182" s="71"/>
    </row>
    <row r="183" spans="5:5" ht="17.25" customHeight="1">
      <c r="E183" s="71"/>
    </row>
    <row r="184" spans="5:5" ht="17.25" customHeight="1">
      <c r="E184" s="71"/>
    </row>
    <row r="185" spans="5:5" ht="17.25" customHeight="1">
      <c r="E185" s="71"/>
    </row>
    <row r="186" spans="5:5" ht="17.25" customHeight="1">
      <c r="E186" s="71"/>
    </row>
    <row r="187" spans="5:5" ht="17.25" customHeight="1">
      <c r="E187" s="71"/>
    </row>
    <row r="188" spans="5:5" ht="17.25" customHeight="1">
      <c r="E188" s="71"/>
    </row>
    <row r="189" spans="5:5" ht="17.25" customHeight="1">
      <c r="E189" s="71"/>
    </row>
    <row r="190" spans="5:5" ht="17.25" customHeight="1">
      <c r="E190" s="71"/>
    </row>
    <row r="191" spans="5:5" ht="17.25" customHeight="1">
      <c r="E191" s="71"/>
    </row>
    <row r="192" spans="5:5" ht="17.25" customHeight="1">
      <c r="E192" s="71"/>
    </row>
    <row r="193" spans="5:5" ht="17.25" customHeight="1">
      <c r="E193" s="71"/>
    </row>
    <row r="194" spans="5:5" ht="17.25" customHeight="1">
      <c r="E194" s="71"/>
    </row>
    <row r="195" spans="5:5" ht="17.25" customHeight="1">
      <c r="E195" s="71"/>
    </row>
    <row r="196" spans="5:5" ht="17.25" customHeight="1">
      <c r="E196" s="71"/>
    </row>
    <row r="197" spans="5:5" ht="17.25" customHeight="1">
      <c r="E197" s="71"/>
    </row>
    <row r="198" spans="5:5" ht="17.25" customHeight="1">
      <c r="E198" s="71"/>
    </row>
    <row r="199" spans="5:5" ht="17.25" customHeight="1">
      <c r="E199" s="71"/>
    </row>
    <row r="200" spans="5:5" ht="17.25" customHeight="1">
      <c r="E200" s="71"/>
    </row>
    <row r="201" spans="5:5" ht="17.25" customHeight="1">
      <c r="E201" s="71"/>
    </row>
    <row r="202" spans="5:5" ht="17.25" customHeight="1">
      <c r="E202" s="71"/>
    </row>
    <row r="203" spans="5:5" ht="17.25" customHeight="1">
      <c r="E203" s="71"/>
    </row>
    <row r="204" spans="5:5" ht="17.25" customHeight="1">
      <c r="E204" s="71"/>
    </row>
    <row r="205" spans="5:5" ht="17.25" customHeight="1">
      <c r="E205" s="71"/>
    </row>
    <row r="206" spans="5:5" ht="17.25" customHeight="1">
      <c r="E206" s="71"/>
    </row>
    <row r="207" spans="5:5" ht="17.25" customHeight="1">
      <c r="E207" s="71"/>
    </row>
    <row r="208" spans="5:5" ht="17.25" customHeight="1">
      <c r="E208" s="71"/>
    </row>
    <row r="209" spans="5:5" ht="17.25" customHeight="1">
      <c r="E209" s="71"/>
    </row>
    <row r="210" spans="5:5" ht="17.25" customHeight="1">
      <c r="E210" s="71"/>
    </row>
    <row r="211" spans="5:5" ht="17.25" customHeight="1">
      <c r="E211" s="71"/>
    </row>
    <row r="212" spans="5:5" ht="17.25" customHeight="1">
      <c r="E212" s="71"/>
    </row>
    <row r="213" spans="5:5" ht="17.25" customHeight="1">
      <c r="E213" s="71"/>
    </row>
    <row r="214" spans="5:5" ht="17.25" customHeight="1">
      <c r="E214" s="71"/>
    </row>
    <row r="215" spans="5:5" ht="17.25" customHeight="1">
      <c r="E215" s="71"/>
    </row>
    <row r="216" spans="5:5" ht="17.25" customHeight="1">
      <c r="E216" s="71"/>
    </row>
    <row r="217" spans="5:5" ht="17.25" customHeight="1">
      <c r="E217" s="71"/>
    </row>
    <row r="218" spans="5:5" ht="17.25" customHeight="1">
      <c r="E218" s="71"/>
    </row>
    <row r="219" spans="5:5" ht="17.25" customHeight="1">
      <c r="E219" s="71"/>
    </row>
    <row r="220" spans="5:5" ht="17.25" customHeight="1">
      <c r="E220" s="71"/>
    </row>
    <row r="221" spans="5:5" ht="17.25" customHeight="1">
      <c r="E221" s="71"/>
    </row>
    <row r="222" spans="5:5" ht="17.25" customHeight="1">
      <c r="E222" s="71"/>
    </row>
    <row r="223" spans="5:5" ht="17.25" customHeight="1">
      <c r="E223" s="71"/>
    </row>
    <row r="224" spans="5:5" ht="17.25" customHeight="1">
      <c r="E224" s="71"/>
    </row>
    <row r="225" spans="5:5" ht="17.25" customHeight="1">
      <c r="E225" s="71"/>
    </row>
    <row r="226" spans="5:5" ht="17.25" customHeight="1">
      <c r="E226" s="71"/>
    </row>
    <row r="227" spans="5:5" ht="17.25" customHeight="1">
      <c r="E227" s="71"/>
    </row>
    <row r="228" spans="5:5" ht="17.25" customHeight="1">
      <c r="E228" s="71"/>
    </row>
    <row r="229" spans="5:5" ht="17.25" customHeight="1">
      <c r="E229" s="71"/>
    </row>
    <row r="230" spans="5:5" ht="17.25" customHeight="1">
      <c r="E230" s="71"/>
    </row>
    <row r="231" spans="5:5" ht="17.25" customHeight="1">
      <c r="E231" s="71"/>
    </row>
    <row r="232" spans="5:5" ht="17.25" customHeight="1">
      <c r="E232" s="71"/>
    </row>
    <row r="233" spans="5:5" ht="17.25" customHeight="1">
      <c r="E233" s="71"/>
    </row>
    <row r="234" spans="5:5" ht="17.25" customHeight="1">
      <c r="E234" s="71"/>
    </row>
    <row r="235" spans="5:5" ht="17.25" customHeight="1">
      <c r="E235" s="71"/>
    </row>
    <row r="236" spans="5:5" ht="17.25" customHeight="1">
      <c r="E236" s="71"/>
    </row>
    <row r="237" spans="5:5" ht="17.25" customHeight="1">
      <c r="E237" s="71"/>
    </row>
    <row r="238" spans="5:5" ht="17.25" customHeight="1">
      <c r="E238" s="71"/>
    </row>
    <row r="239" spans="5:5" ht="17.25" customHeight="1">
      <c r="E239" s="71"/>
    </row>
    <row r="240" spans="5:5" ht="17.25" customHeight="1">
      <c r="E240" s="71"/>
    </row>
    <row r="241" spans="5:5" ht="17.25" customHeight="1">
      <c r="E241" s="71"/>
    </row>
    <row r="242" spans="5:5" ht="17.25" customHeight="1">
      <c r="E242" s="71"/>
    </row>
    <row r="243" spans="5:5" ht="17.25" customHeight="1">
      <c r="E243" s="71"/>
    </row>
    <row r="244" spans="5:5" ht="17.25" customHeight="1">
      <c r="E244" s="71"/>
    </row>
    <row r="245" spans="5:5" ht="17.25" customHeight="1">
      <c r="E245" s="71"/>
    </row>
    <row r="246" spans="5:5" ht="17.25" customHeight="1">
      <c r="E246" s="71"/>
    </row>
    <row r="247" spans="5:5" ht="17.25" customHeight="1">
      <c r="E247" s="71"/>
    </row>
    <row r="248" spans="5:5" ht="17.25" customHeight="1">
      <c r="E248" s="71"/>
    </row>
    <row r="249" spans="5:5" ht="17.25" customHeight="1">
      <c r="E249" s="71"/>
    </row>
    <row r="250" spans="5:5" ht="17.25" customHeight="1">
      <c r="E250" s="71"/>
    </row>
    <row r="251" spans="5:5" ht="17.25" customHeight="1">
      <c r="E251" s="71"/>
    </row>
    <row r="252" spans="5:5" ht="17.25" customHeight="1">
      <c r="E252" s="71"/>
    </row>
    <row r="253" spans="5:5" ht="17.25" customHeight="1">
      <c r="E253" s="71"/>
    </row>
    <row r="254" spans="5:5" ht="17.25" customHeight="1">
      <c r="E254" s="71"/>
    </row>
    <row r="255" spans="5:5" ht="17.25" customHeight="1">
      <c r="E255" s="71"/>
    </row>
    <row r="256" spans="5:5" ht="17.25" customHeight="1">
      <c r="E256" s="71"/>
    </row>
    <row r="257" spans="5:5" ht="17.25" customHeight="1">
      <c r="E257" s="71"/>
    </row>
    <row r="258" spans="5:5" ht="17.25" customHeight="1">
      <c r="E258" s="71"/>
    </row>
    <row r="259" spans="5:5" ht="17.25" customHeight="1">
      <c r="E259" s="71"/>
    </row>
    <row r="260" spans="5:5" ht="17.25" customHeight="1">
      <c r="E260" s="71"/>
    </row>
    <row r="261" spans="5:5" ht="17.25" customHeight="1">
      <c r="E261" s="71"/>
    </row>
    <row r="262" spans="5:5" ht="17.25" customHeight="1">
      <c r="E262" s="71"/>
    </row>
    <row r="263" spans="5:5" ht="17.25" customHeight="1">
      <c r="E263" s="71"/>
    </row>
    <row r="264" spans="5:5" ht="17.25" customHeight="1">
      <c r="E264" s="71"/>
    </row>
    <row r="265" spans="5:5" ht="17.25" customHeight="1">
      <c r="E265" s="71"/>
    </row>
    <row r="266" spans="5:5" ht="17.25" customHeight="1">
      <c r="E266" s="71"/>
    </row>
    <row r="267" spans="5:5" ht="17.25" customHeight="1">
      <c r="E267" s="71"/>
    </row>
    <row r="268" spans="5:5" ht="17.25" customHeight="1">
      <c r="E268" s="71"/>
    </row>
    <row r="269" spans="5:5" ht="17.25" customHeight="1">
      <c r="E269" s="71"/>
    </row>
    <row r="270" spans="5:5" ht="17.25" customHeight="1">
      <c r="E270" s="71"/>
    </row>
    <row r="271" spans="5:5" ht="17.25" customHeight="1">
      <c r="E271" s="71"/>
    </row>
    <row r="272" spans="5:5" ht="17.25" customHeight="1">
      <c r="E272" s="71"/>
    </row>
    <row r="273" spans="5:5" ht="17.25" customHeight="1">
      <c r="E273" s="71"/>
    </row>
    <row r="274" spans="5:5" ht="17.25" customHeight="1">
      <c r="E274" s="71"/>
    </row>
    <row r="275" spans="5:5" ht="17.25" customHeight="1">
      <c r="E275" s="71"/>
    </row>
    <row r="276" spans="5:5" ht="17.25" customHeight="1">
      <c r="E276" s="71"/>
    </row>
    <row r="277" spans="5:5" ht="17.25" customHeight="1">
      <c r="E277" s="71"/>
    </row>
    <row r="278" spans="5:5" ht="17.25" customHeight="1">
      <c r="E278" s="71"/>
    </row>
    <row r="279" spans="5:5" ht="17.25" customHeight="1">
      <c r="E279" s="71"/>
    </row>
    <row r="280" spans="5:5" ht="17.25" customHeight="1">
      <c r="E280" s="71"/>
    </row>
    <row r="281" spans="5:5" ht="17.25" customHeight="1">
      <c r="E281" s="71"/>
    </row>
    <row r="282" spans="5:5" ht="17.25" customHeight="1">
      <c r="E282" s="71"/>
    </row>
    <row r="283" spans="5:5" ht="17.25" customHeight="1">
      <c r="E283" s="71"/>
    </row>
    <row r="284" spans="5:5" ht="17.25" customHeight="1">
      <c r="E284" s="71"/>
    </row>
    <row r="285" spans="5:5" ht="17.25" customHeight="1">
      <c r="E285" s="71"/>
    </row>
    <row r="286" spans="5:5" ht="17.25" customHeight="1">
      <c r="E286" s="71"/>
    </row>
    <row r="287" spans="5:5" ht="17.25" customHeight="1">
      <c r="E287" s="71"/>
    </row>
    <row r="288" spans="5:5" ht="17.25" customHeight="1">
      <c r="E288" s="71"/>
    </row>
    <row r="289" spans="5:5" ht="17.25" customHeight="1">
      <c r="E289" s="71"/>
    </row>
    <row r="290" spans="5:5" ht="17.25" customHeight="1">
      <c r="E290" s="71"/>
    </row>
    <row r="291" spans="5:5" ht="17.25" customHeight="1">
      <c r="E291" s="71"/>
    </row>
    <row r="292" spans="5:5" ht="17.25" customHeight="1">
      <c r="E292" s="71"/>
    </row>
    <row r="293" spans="5:5" ht="17.25" customHeight="1">
      <c r="E293" s="71"/>
    </row>
    <row r="294" spans="5:5" ht="17.25" customHeight="1">
      <c r="E294" s="71"/>
    </row>
    <row r="295" spans="5:5" ht="17.25" customHeight="1">
      <c r="E295" s="71"/>
    </row>
    <row r="296" spans="5:5" ht="17.25" customHeight="1">
      <c r="E296" s="71"/>
    </row>
    <row r="297" spans="5:5" ht="17.25" customHeight="1">
      <c r="E297" s="71"/>
    </row>
    <row r="298" spans="5:5" ht="17.25" customHeight="1">
      <c r="E298" s="71"/>
    </row>
    <row r="299" spans="5:5" ht="17.25" customHeight="1">
      <c r="E299" s="71"/>
    </row>
    <row r="300" spans="5:5" ht="17.25" customHeight="1">
      <c r="E300" s="71"/>
    </row>
    <row r="301" spans="5:5" ht="17.25" customHeight="1">
      <c r="E301" s="71"/>
    </row>
    <row r="302" spans="5:5" ht="17.25" customHeight="1">
      <c r="E302" s="71"/>
    </row>
    <row r="303" spans="5:5" ht="17.25" customHeight="1">
      <c r="E303" s="71"/>
    </row>
    <row r="304" spans="5:5" ht="17.25" customHeight="1">
      <c r="E304" s="71"/>
    </row>
    <row r="305" spans="5:5" ht="17.25" customHeight="1">
      <c r="E305" s="71"/>
    </row>
    <row r="306" spans="5:5" ht="17.25" customHeight="1">
      <c r="E306" s="71"/>
    </row>
    <row r="307" spans="5:5" ht="17.25" customHeight="1">
      <c r="E307" s="71"/>
    </row>
    <row r="308" spans="5:5" ht="17.25" customHeight="1">
      <c r="E308" s="71"/>
    </row>
    <row r="309" spans="5:5" ht="17.25" customHeight="1">
      <c r="E309" s="71"/>
    </row>
    <row r="310" spans="5:5" ht="17.25" customHeight="1">
      <c r="E310" s="71"/>
    </row>
    <row r="311" spans="5:5" ht="17.25" customHeight="1">
      <c r="E311" s="71"/>
    </row>
    <row r="312" spans="5:5" ht="17.25" customHeight="1">
      <c r="E312" s="71"/>
    </row>
    <row r="313" spans="5:5" ht="17.25" customHeight="1">
      <c r="E313" s="71"/>
    </row>
    <row r="314" spans="5:5" ht="17.25" customHeight="1">
      <c r="E314" s="71"/>
    </row>
    <row r="315" spans="5:5" ht="17.25" customHeight="1">
      <c r="E315" s="71"/>
    </row>
    <row r="316" spans="5:5" ht="17.25" customHeight="1">
      <c r="E316" s="71"/>
    </row>
    <row r="317" spans="5:5" ht="17.25" customHeight="1">
      <c r="E317" s="71"/>
    </row>
    <row r="318" spans="5:5" ht="17.25" customHeight="1">
      <c r="E318" s="71"/>
    </row>
    <row r="319" spans="5:5" ht="17.25" customHeight="1">
      <c r="E319" s="71"/>
    </row>
    <row r="320" spans="5:5" ht="17.25" customHeight="1">
      <c r="E320" s="71"/>
    </row>
    <row r="321" spans="5:5" ht="17.25" customHeight="1">
      <c r="E321" s="71"/>
    </row>
    <row r="322" spans="5:5" ht="17.25" customHeight="1">
      <c r="E322" s="71"/>
    </row>
    <row r="323" spans="5:5" ht="17.25" customHeight="1">
      <c r="E323" s="71"/>
    </row>
    <row r="324" spans="5:5" ht="17.25" customHeight="1">
      <c r="E324" s="71"/>
    </row>
    <row r="325" spans="5:5" ht="17.25" customHeight="1">
      <c r="E325" s="71"/>
    </row>
    <row r="326" spans="5:5" ht="17.25" customHeight="1">
      <c r="E326" s="71"/>
    </row>
    <row r="327" spans="5:5" ht="17.25" customHeight="1">
      <c r="E327" s="71"/>
    </row>
    <row r="328" spans="5:5" ht="17.25" customHeight="1">
      <c r="E328" s="71"/>
    </row>
    <row r="329" spans="5:5" ht="17.25" customHeight="1">
      <c r="E329" s="71"/>
    </row>
    <row r="330" spans="5:5" ht="17.25" customHeight="1">
      <c r="E330" s="71"/>
    </row>
    <row r="331" spans="5:5" ht="17.25" customHeight="1">
      <c r="E331" s="71"/>
    </row>
    <row r="332" spans="5:5" ht="17.25" customHeight="1">
      <c r="E332" s="71"/>
    </row>
    <row r="333" spans="5:5" ht="17.25" customHeight="1">
      <c r="E333" s="71"/>
    </row>
    <row r="334" spans="5:5" ht="17.25" customHeight="1">
      <c r="E334" s="71"/>
    </row>
    <row r="335" spans="5:5" ht="17.25" customHeight="1">
      <c r="E335" s="71"/>
    </row>
    <row r="336" spans="5:5" ht="17.25" customHeight="1">
      <c r="E336" s="71"/>
    </row>
    <row r="337" spans="5:5" ht="17.25" customHeight="1">
      <c r="E337" s="71"/>
    </row>
    <row r="338" spans="5:5" ht="17.25" customHeight="1">
      <c r="E338" s="71"/>
    </row>
    <row r="339" spans="5:5" ht="17.25" customHeight="1">
      <c r="E339" s="71"/>
    </row>
    <row r="340" spans="5:5" ht="17.25" customHeight="1">
      <c r="E340" s="71"/>
    </row>
    <row r="341" spans="5:5" ht="17.25" customHeight="1">
      <c r="E341" s="71"/>
    </row>
    <row r="342" spans="5:5" ht="17.25" customHeight="1">
      <c r="E342" s="71"/>
    </row>
    <row r="343" spans="5:5" ht="17.25" customHeight="1">
      <c r="E343" s="71"/>
    </row>
    <row r="344" spans="5:5" ht="17.25" customHeight="1">
      <c r="E344" s="71"/>
    </row>
    <row r="345" spans="5:5" ht="17.25" customHeight="1">
      <c r="E345" s="71"/>
    </row>
    <row r="346" spans="5:5" ht="17.25" customHeight="1">
      <c r="E346" s="71"/>
    </row>
    <row r="347" spans="5:5" ht="17.25" customHeight="1">
      <c r="E347" s="71"/>
    </row>
    <row r="348" spans="5:5" ht="17.25" customHeight="1">
      <c r="E348" s="71"/>
    </row>
    <row r="349" spans="5:5" ht="17.25" customHeight="1">
      <c r="E349" s="71"/>
    </row>
    <row r="350" spans="5:5" ht="17.25" customHeight="1">
      <c r="E350" s="71"/>
    </row>
    <row r="351" spans="5:5" ht="17.25" customHeight="1">
      <c r="E351" s="71"/>
    </row>
    <row r="352" spans="5:5" ht="17.25" customHeight="1">
      <c r="E352" s="71"/>
    </row>
    <row r="353" spans="5:5" ht="17.25" customHeight="1">
      <c r="E353" s="71"/>
    </row>
    <row r="354" spans="5:5" ht="17.25" customHeight="1">
      <c r="E354" s="71"/>
    </row>
    <row r="355" spans="5:5" ht="17.25" customHeight="1">
      <c r="E355" s="71"/>
    </row>
    <row r="356" spans="5:5" ht="17.25" customHeight="1">
      <c r="E356" s="71"/>
    </row>
    <row r="357" spans="5:5" ht="17.25" customHeight="1">
      <c r="E357" s="71"/>
    </row>
    <row r="358" spans="5:5" ht="17.25" customHeight="1">
      <c r="E358" s="71"/>
    </row>
    <row r="359" spans="5:5" ht="17.25" customHeight="1">
      <c r="E359" s="71"/>
    </row>
    <row r="360" spans="5:5" ht="17.25" customHeight="1">
      <c r="E360" s="71"/>
    </row>
    <row r="361" spans="5:5" ht="17.25" customHeight="1">
      <c r="E361" s="71"/>
    </row>
    <row r="362" spans="5:5" ht="17.25" customHeight="1">
      <c r="E362" s="71"/>
    </row>
    <row r="363" spans="5:5" ht="17.25" customHeight="1">
      <c r="E363" s="71"/>
    </row>
    <row r="364" spans="5:5" ht="17.25" customHeight="1">
      <c r="E364" s="71"/>
    </row>
    <row r="365" spans="5:5" ht="17.25" customHeight="1">
      <c r="E365" s="71"/>
    </row>
    <row r="366" spans="5:5" ht="17.25" customHeight="1">
      <c r="E366" s="71"/>
    </row>
    <row r="367" spans="5:5" ht="17.25" customHeight="1">
      <c r="E367" s="71"/>
    </row>
    <row r="368" spans="5:5" ht="17.25" customHeight="1">
      <c r="E368" s="71"/>
    </row>
    <row r="369" spans="5:5" ht="17.25" customHeight="1">
      <c r="E369" s="71"/>
    </row>
    <row r="370" spans="5:5" ht="17.25" customHeight="1">
      <c r="E370" s="71"/>
    </row>
    <row r="371" spans="5:5" ht="17.25" customHeight="1">
      <c r="E371" s="71"/>
    </row>
    <row r="372" spans="5:5" ht="17.25" customHeight="1">
      <c r="E372" s="71"/>
    </row>
    <row r="373" spans="5:5" ht="17.25" customHeight="1">
      <c r="E373" s="71"/>
    </row>
    <row r="374" spans="5:5" ht="17.25" customHeight="1">
      <c r="E374" s="71"/>
    </row>
    <row r="375" spans="5:5" ht="17.25" customHeight="1">
      <c r="E375" s="71"/>
    </row>
    <row r="376" spans="5:5" ht="17.25" customHeight="1">
      <c r="E376" s="71"/>
    </row>
    <row r="377" spans="5:5" ht="17.25" customHeight="1">
      <c r="E377" s="71"/>
    </row>
    <row r="378" spans="5:5" ht="17.25" customHeight="1">
      <c r="E378" s="71"/>
    </row>
    <row r="379" spans="5:5" ht="17.25" customHeight="1">
      <c r="E379" s="71"/>
    </row>
    <row r="380" spans="5:5" ht="17.25" customHeight="1">
      <c r="E380" s="71"/>
    </row>
    <row r="381" spans="5:5" ht="17.25" customHeight="1">
      <c r="E381" s="71"/>
    </row>
    <row r="382" spans="5:5" ht="17.25" customHeight="1">
      <c r="E382" s="71"/>
    </row>
    <row r="383" spans="5:5" ht="17.25" customHeight="1">
      <c r="E383" s="71"/>
    </row>
    <row r="384" spans="5:5" ht="17.25" customHeight="1">
      <c r="E384" s="71"/>
    </row>
    <row r="385" spans="5:5" ht="17.25" customHeight="1">
      <c r="E385" s="71"/>
    </row>
    <row r="386" spans="5:5" ht="17.25" customHeight="1">
      <c r="E386" s="71"/>
    </row>
    <row r="387" spans="5:5" ht="17.25" customHeight="1">
      <c r="E387" s="71"/>
    </row>
    <row r="388" spans="5:5" ht="17.25" customHeight="1">
      <c r="E388" s="71"/>
    </row>
    <row r="389" spans="5:5" ht="17.25" customHeight="1">
      <c r="E389" s="71"/>
    </row>
    <row r="390" spans="5:5" ht="17.25" customHeight="1">
      <c r="E390" s="71"/>
    </row>
    <row r="391" spans="5:5" ht="17.25" customHeight="1">
      <c r="E391" s="71"/>
    </row>
    <row r="392" spans="5:5" ht="17.25" customHeight="1">
      <c r="E392" s="71"/>
    </row>
    <row r="393" spans="5:5" ht="17.25" customHeight="1">
      <c r="E393" s="71"/>
    </row>
    <row r="394" spans="5:5" ht="17.25" customHeight="1">
      <c r="E394" s="71"/>
    </row>
    <row r="395" spans="5:5" ht="17.25" customHeight="1">
      <c r="E395" s="71"/>
    </row>
    <row r="396" spans="5:5" ht="17.25" customHeight="1">
      <c r="E396" s="71"/>
    </row>
    <row r="397" spans="5:5" ht="17.25" customHeight="1">
      <c r="E397" s="71"/>
    </row>
    <row r="398" spans="5:5" ht="17.25" customHeight="1">
      <c r="E398" s="71"/>
    </row>
    <row r="399" spans="5:5" ht="17.25" customHeight="1">
      <c r="E399" s="71"/>
    </row>
    <row r="400" spans="5:5" ht="17.25" customHeight="1">
      <c r="E400" s="71"/>
    </row>
    <row r="401" spans="5:5" ht="17.25" customHeight="1">
      <c r="E401" s="71"/>
    </row>
    <row r="402" spans="5:5" ht="17.25" customHeight="1">
      <c r="E402" s="71"/>
    </row>
    <row r="403" spans="5:5" ht="17.25" customHeight="1">
      <c r="E403" s="71"/>
    </row>
    <row r="404" spans="5:5" ht="17.25" customHeight="1">
      <c r="E404" s="71"/>
    </row>
    <row r="405" spans="5:5" ht="17.25" customHeight="1">
      <c r="E405" s="71"/>
    </row>
    <row r="406" spans="5:5" ht="17.25" customHeight="1">
      <c r="E406" s="71"/>
    </row>
    <row r="407" spans="5:5" ht="17.25" customHeight="1">
      <c r="E407" s="71"/>
    </row>
    <row r="408" spans="5:5" ht="17.25" customHeight="1">
      <c r="E408" s="71"/>
    </row>
    <row r="409" spans="5:5" ht="17.25" customHeight="1">
      <c r="E409" s="71"/>
    </row>
    <row r="410" spans="5:5" ht="17.25" customHeight="1">
      <c r="E410" s="71"/>
    </row>
    <row r="411" spans="5:5" ht="17.25" customHeight="1">
      <c r="E411" s="71"/>
    </row>
    <row r="412" spans="5:5" ht="17.25" customHeight="1">
      <c r="E412" s="71"/>
    </row>
    <row r="413" spans="5:5" ht="17.25" customHeight="1">
      <c r="E413" s="71"/>
    </row>
    <row r="414" spans="5:5" ht="17.25" customHeight="1">
      <c r="E414" s="71"/>
    </row>
    <row r="415" spans="5:5" ht="17.25" customHeight="1">
      <c r="E415" s="71"/>
    </row>
    <row r="416" spans="5:5" ht="17.25" customHeight="1">
      <c r="E416" s="71"/>
    </row>
    <row r="417" spans="5:5" ht="17.25" customHeight="1">
      <c r="E417" s="71"/>
    </row>
    <row r="418" spans="5:5" ht="17.25" customHeight="1">
      <c r="E418" s="71"/>
    </row>
    <row r="419" spans="5:5" ht="17.25" customHeight="1">
      <c r="E419" s="71"/>
    </row>
    <row r="420" spans="5:5" ht="17.25" customHeight="1">
      <c r="E420" s="71"/>
    </row>
    <row r="421" spans="5:5" ht="17.25" customHeight="1">
      <c r="E421" s="71"/>
    </row>
    <row r="422" spans="5:5" ht="17.25" customHeight="1">
      <c r="E422" s="71"/>
    </row>
    <row r="423" spans="5:5" ht="17.25" customHeight="1">
      <c r="E423" s="71"/>
    </row>
    <row r="424" spans="5:5" ht="17.25" customHeight="1">
      <c r="E424" s="71"/>
    </row>
    <row r="425" spans="5:5" ht="17.25" customHeight="1">
      <c r="E425" s="71"/>
    </row>
    <row r="426" spans="5:5" ht="17.25" customHeight="1">
      <c r="E426" s="71"/>
    </row>
    <row r="427" spans="5:5" ht="17.25" customHeight="1">
      <c r="E427" s="71"/>
    </row>
    <row r="428" spans="5:5" ht="17.25" customHeight="1">
      <c r="E428" s="71"/>
    </row>
    <row r="429" spans="5:5" ht="17.25" customHeight="1">
      <c r="E429" s="71"/>
    </row>
    <row r="430" spans="5:5" ht="17.25" customHeight="1">
      <c r="E430" s="71"/>
    </row>
    <row r="431" spans="5:5" ht="17.25" customHeight="1">
      <c r="E431" s="71"/>
    </row>
    <row r="432" spans="5:5" ht="17.25" customHeight="1">
      <c r="E432" s="71"/>
    </row>
    <row r="433" spans="5:5" ht="17.25" customHeight="1">
      <c r="E433" s="71"/>
    </row>
    <row r="434" spans="5:5" ht="17.25" customHeight="1">
      <c r="E434" s="71"/>
    </row>
    <row r="435" spans="5:5" ht="17.25" customHeight="1">
      <c r="E435" s="71"/>
    </row>
    <row r="436" spans="5:5" ht="17.25" customHeight="1">
      <c r="E436" s="71"/>
    </row>
    <row r="437" spans="5:5" ht="17.25" customHeight="1">
      <c r="E437" s="71"/>
    </row>
    <row r="438" spans="5:5" ht="17.25" customHeight="1">
      <c r="E438" s="71"/>
    </row>
    <row r="439" spans="5:5" ht="17.25" customHeight="1">
      <c r="E439" s="71"/>
    </row>
    <row r="440" spans="5:5" ht="17.25" customHeight="1">
      <c r="E440" s="71"/>
    </row>
    <row r="441" spans="5:5" ht="17.25" customHeight="1">
      <c r="E441" s="71"/>
    </row>
    <row r="442" spans="5:5" ht="17.25" customHeight="1">
      <c r="E442" s="71"/>
    </row>
    <row r="443" spans="5:5" ht="17.25" customHeight="1">
      <c r="E443" s="71"/>
    </row>
    <row r="444" spans="5:5" ht="17.25" customHeight="1">
      <c r="E444" s="71"/>
    </row>
    <row r="445" spans="5:5" ht="17.25" customHeight="1">
      <c r="E445" s="71"/>
    </row>
    <row r="446" spans="5:5" ht="17.25" customHeight="1">
      <c r="E446" s="71"/>
    </row>
    <row r="447" spans="5:5" ht="17.25" customHeight="1">
      <c r="E447" s="71"/>
    </row>
    <row r="448" spans="5:5" ht="17.25" customHeight="1">
      <c r="E448" s="71"/>
    </row>
    <row r="449" spans="5:5" ht="17.25" customHeight="1">
      <c r="E449" s="71"/>
    </row>
    <row r="450" spans="5:5" ht="17.25" customHeight="1">
      <c r="E450" s="71"/>
    </row>
    <row r="451" spans="5:5" ht="17.25" customHeight="1">
      <c r="E451" s="71"/>
    </row>
    <row r="452" spans="5:5" ht="17.25" customHeight="1">
      <c r="E452" s="71"/>
    </row>
    <row r="453" spans="5:5" ht="17.25" customHeight="1">
      <c r="E453" s="71"/>
    </row>
    <row r="454" spans="5:5" ht="17.25" customHeight="1">
      <c r="E454" s="71"/>
    </row>
    <row r="455" spans="5:5" ht="17.25" customHeight="1">
      <c r="E455" s="71"/>
    </row>
    <row r="456" spans="5:5" ht="17.25" customHeight="1">
      <c r="E456" s="71"/>
    </row>
    <row r="457" spans="5:5" ht="17.25" customHeight="1">
      <c r="E457" s="71"/>
    </row>
    <row r="458" spans="5:5" ht="17.25" customHeight="1">
      <c r="E458" s="71"/>
    </row>
    <row r="459" spans="5:5" ht="17.25" customHeight="1">
      <c r="E459" s="71"/>
    </row>
    <row r="460" spans="5:5" ht="17.25" customHeight="1">
      <c r="E460" s="71"/>
    </row>
    <row r="461" spans="5:5" ht="17.25" customHeight="1">
      <c r="E461" s="71"/>
    </row>
    <row r="462" spans="5:5" ht="17.25" customHeight="1">
      <c r="E462" s="71"/>
    </row>
    <row r="463" spans="5:5" ht="17.25" customHeight="1">
      <c r="E463" s="71"/>
    </row>
    <row r="464" spans="5:5" ht="17.25" customHeight="1">
      <c r="E464" s="71"/>
    </row>
    <row r="465" spans="5:5" ht="17.25" customHeight="1">
      <c r="E465" s="71"/>
    </row>
    <row r="466" spans="5:5" ht="17.25" customHeight="1">
      <c r="E466" s="71"/>
    </row>
    <row r="467" spans="5:5" ht="17.25" customHeight="1">
      <c r="E467" s="71"/>
    </row>
    <row r="468" spans="5:5" ht="17.25" customHeight="1">
      <c r="E468" s="71"/>
    </row>
    <row r="469" spans="5:5" ht="17.25" customHeight="1">
      <c r="E469" s="71"/>
    </row>
    <row r="470" spans="5:5" ht="17.25" customHeight="1">
      <c r="E470" s="71"/>
    </row>
    <row r="471" spans="5:5" ht="17.25" customHeight="1">
      <c r="E471" s="71"/>
    </row>
    <row r="472" spans="5:5" ht="17.25" customHeight="1">
      <c r="E472" s="71"/>
    </row>
    <row r="473" spans="5:5" ht="17.25" customHeight="1">
      <c r="E473" s="71"/>
    </row>
    <row r="474" spans="5:5" ht="17.25" customHeight="1">
      <c r="E474" s="71"/>
    </row>
    <row r="475" spans="5:5" ht="17.25" customHeight="1">
      <c r="E475" s="71"/>
    </row>
    <row r="476" spans="5:5" ht="17.25" customHeight="1">
      <c r="E476" s="71"/>
    </row>
    <row r="477" spans="5:5" ht="17.25" customHeight="1">
      <c r="E477" s="71"/>
    </row>
    <row r="478" spans="5:5" ht="17.25" customHeight="1">
      <c r="E478" s="71"/>
    </row>
    <row r="479" spans="5:5" ht="17.25" customHeight="1">
      <c r="E479" s="71"/>
    </row>
    <row r="480" spans="5:5" ht="17.25" customHeight="1">
      <c r="E480" s="71"/>
    </row>
    <row r="481" spans="5:5" ht="17.25" customHeight="1">
      <c r="E481" s="71"/>
    </row>
    <row r="482" spans="5:5" ht="17.25" customHeight="1">
      <c r="E482" s="71"/>
    </row>
    <row r="483" spans="5:5" ht="17.25" customHeight="1">
      <c r="E483" s="71"/>
    </row>
    <row r="484" spans="5:5" ht="17.25" customHeight="1">
      <c r="E484" s="71"/>
    </row>
    <row r="485" spans="5:5" ht="17.25" customHeight="1">
      <c r="E485" s="71"/>
    </row>
    <row r="486" spans="5:5" ht="17.25" customHeight="1">
      <c r="E486" s="71"/>
    </row>
    <row r="487" spans="5:5" ht="17.25" customHeight="1">
      <c r="E487" s="71"/>
    </row>
    <row r="488" spans="5:5" ht="17.25" customHeight="1">
      <c r="E488" s="71"/>
    </row>
    <row r="489" spans="5:5" ht="17.25" customHeight="1">
      <c r="E489" s="71"/>
    </row>
    <row r="490" spans="5:5" ht="17.25" customHeight="1">
      <c r="E490" s="71"/>
    </row>
    <row r="491" spans="5:5" ht="17.25" customHeight="1">
      <c r="E491" s="71"/>
    </row>
    <row r="492" spans="5:5" ht="17.25" customHeight="1">
      <c r="E492" s="71"/>
    </row>
    <row r="493" spans="5:5" ht="17.25" customHeight="1">
      <c r="E493" s="71"/>
    </row>
    <row r="494" spans="5:5" ht="17.25" customHeight="1">
      <c r="E494" s="71"/>
    </row>
    <row r="495" spans="5:5" ht="17.25" customHeight="1">
      <c r="E495" s="71"/>
    </row>
    <row r="496" spans="5:5" ht="17.25" customHeight="1">
      <c r="E496" s="71"/>
    </row>
    <row r="497" spans="5:5" ht="17.25" customHeight="1">
      <c r="E497" s="71"/>
    </row>
    <row r="498" spans="5:5" ht="17.25" customHeight="1">
      <c r="E498" s="71"/>
    </row>
    <row r="499" spans="5:5" ht="17.25" customHeight="1">
      <c r="E499" s="71"/>
    </row>
    <row r="500" spans="5:5" ht="17.25" customHeight="1">
      <c r="E500" s="71"/>
    </row>
    <row r="501" spans="5:5" ht="17.25" customHeight="1">
      <c r="E501" s="71"/>
    </row>
    <row r="502" spans="5:5" ht="17.25" customHeight="1">
      <c r="E502" s="71"/>
    </row>
    <row r="503" spans="5:5" ht="17.25" customHeight="1">
      <c r="E503" s="71"/>
    </row>
    <row r="504" spans="5:5" ht="17.25" customHeight="1">
      <c r="E504" s="71"/>
    </row>
    <row r="505" spans="5:5" ht="17.25" customHeight="1">
      <c r="E505" s="71"/>
    </row>
    <row r="506" spans="5:5" ht="17.25" customHeight="1">
      <c r="E506" s="71"/>
    </row>
    <row r="507" spans="5:5" ht="17.25" customHeight="1">
      <c r="E507" s="71"/>
    </row>
    <row r="508" spans="5:5" ht="17.25" customHeight="1">
      <c r="E508" s="71"/>
    </row>
    <row r="509" spans="5:5" ht="17.25" customHeight="1">
      <c r="E509" s="71"/>
    </row>
    <row r="510" spans="5:5" ht="17.25" customHeight="1">
      <c r="E510" s="71"/>
    </row>
    <row r="511" spans="5:5" ht="17.25" customHeight="1">
      <c r="E511" s="71"/>
    </row>
    <row r="512" spans="5:5" ht="17.25" customHeight="1">
      <c r="E512" s="71"/>
    </row>
    <row r="513" spans="5:5" ht="17.25" customHeight="1">
      <c r="E513" s="71"/>
    </row>
    <row r="514" spans="5:5" ht="17.25" customHeight="1">
      <c r="E514" s="71"/>
    </row>
    <row r="515" spans="5:5" ht="17.25" customHeight="1">
      <c r="E515" s="71"/>
    </row>
    <row r="516" spans="5:5" ht="17.25" customHeight="1">
      <c r="E516" s="71"/>
    </row>
    <row r="517" spans="5:5" ht="17.25" customHeight="1">
      <c r="E517" s="71"/>
    </row>
    <row r="518" spans="5:5" ht="17.25" customHeight="1">
      <c r="E518" s="71"/>
    </row>
    <row r="519" spans="5:5" ht="17.25" customHeight="1">
      <c r="E519" s="71"/>
    </row>
    <row r="520" spans="5:5" ht="17.25" customHeight="1">
      <c r="E520" s="71"/>
    </row>
    <row r="521" spans="5:5" ht="17.25" customHeight="1">
      <c r="E521" s="71"/>
    </row>
    <row r="522" spans="5:5" ht="17.25" customHeight="1">
      <c r="E522" s="71"/>
    </row>
    <row r="523" spans="5:5" ht="17.25" customHeight="1">
      <c r="E523" s="71"/>
    </row>
    <row r="524" spans="5:5" ht="17.25" customHeight="1">
      <c r="E524" s="71"/>
    </row>
    <row r="525" spans="5:5" ht="17.25" customHeight="1">
      <c r="E525" s="71"/>
    </row>
    <row r="526" spans="5:5" ht="17.25" customHeight="1">
      <c r="E526" s="71"/>
    </row>
    <row r="527" spans="5:5" ht="17.25" customHeight="1">
      <c r="E527" s="71"/>
    </row>
    <row r="528" spans="5:5" ht="17.25" customHeight="1">
      <c r="E528" s="71"/>
    </row>
    <row r="529" spans="5:5" ht="17.25" customHeight="1">
      <c r="E529" s="71"/>
    </row>
    <row r="530" spans="5:5" ht="17.25" customHeight="1">
      <c r="E530" s="71"/>
    </row>
    <row r="531" spans="5:5" ht="17.25" customHeight="1">
      <c r="E531" s="71"/>
    </row>
    <row r="532" spans="5:5" ht="17.25" customHeight="1">
      <c r="E532" s="71"/>
    </row>
    <row r="533" spans="5:5" ht="17.25" customHeight="1">
      <c r="E533" s="71"/>
    </row>
    <row r="534" spans="5:5" ht="17.25" customHeight="1">
      <c r="E534" s="71"/>
    </row>
    <row r="535" spans="5:5" ht="17.25" customHeight="1">
      <c r="E535" s="71"/>
    </row>
    <row r="536" spans="5:5" ht="17.25" customHeight="1">
      <c r="E536" s="71"/>
    </row>
    <row r="537" spans="5:5" ht="17.25" customHeight="1">
      <c r="E537" s="71"/>
    </row>
    <row r="538" spans="5:5" ht="17.25" customHeight="1">
      <c r="E538" s="71"/>
    </row>
    <row r="539" spans="5:5" ht="17.25" customHeight="1">
      <c r="E539" s="71"/>
    </row>
    <row r="540" spans="5:5" ht="17.25" customHeight="1">
      <c r="E540" s="71"/>
    </row>
    <row r="541" spans="5:5" ht="17.25" customHeight="1">
      <c r="E541" s="71"/>
    </row>
    <row r="542" spans="5:5" ht="17.25" customHeight="1">
      <c r="E542" s="71"/>
    </row>
    <row r="543" spans="5:5" ht="17.25" customHeight="1">
      <c r="E543" s="71"/>
    </row>
    <row r="544" spans="5:5" ht="17.25" customHeight="1">
      <c r="E544" s="71"/>
    </row>
    <row r="545" spans="5:5" ht="17.25" customHeight="1">
      <c r="E545" s="71"/>
    </row>
    <row r="546" spans="5:5" ht="17.25" customHeight="1">
      <c r="E546" s="71"/>
    </row>
    <row r="547" spans="5:5" ht="17.25" customHeight="1">
      <c r="E547" s="71"/>
    </row>
    <row r="548" spans="5:5" ht="17.25" customHeight="1">
      <c r="E548" s="71"/>
    </row>
    <row r="549" spans="5:5" ht="17.25" customHeight="1">
      <c r="E549" s="71"/>
    </row>
    <row r="550" spans="5:5" ht="17.25" customHeight="1">
      <c r="E550" s="71"/>
    </row>
    <row r="551" spans="5:5" ht="17.25" customHeight="1">
      <c r="E551" s="71"/>
    </row>
    <row r="552" spans="5:5" ht="17.25" customHeight="1">
      <c r="E552" s="71"/>
    </row>
    <row r="553" spans="5:5" ht="17.25" customHeight="1">
      <c r="E553" s="71"/>
    </row>
    <row r="554" spans="5:5" ht="17.25" customHeight="1">
      <c r="E554" s="71"/>
    </row>
    <row r="555" spans="5:5" ht="17.25" customHeight="1">
      <c r="E555" s="71"/>
    </row>
    <row r="556" spans="5:5" ht="17.25" customHeight="1">
      <c r="E556" s="71"/>
    </row>
    <row r="557" spans="5:5" ht="17.25" customHeight="1">
      <c r="E557" s="71"/>
    </row>
    <row r="558" spans="5:5" ht="17.25" customHeight="1">
      <c r="E558" s="71"/>
    </row>
    <row r="559" spans="5:5" ht="17.25" customHeight="1">
      <c r="E559" s="71"/>
    </row>
    <row r="560" spans="5:5" ht="17.25" customHeight="1">
      <c r="E560" s="71"/>
    </row>
    <row r="561" spans="5:5" ht="17.25" customHeight="1">
      <c r="E561" s="71"/>
    </row>
    <row r="562" spans="5:5" ht="17.25" customHeight="1">
      <c r="E562" s="71"/>
    </row>
    <row r="563" spans="5:5" ht="17.25" customHeight="1">
      <c r="E563" s="71"/>
    </row>
    <row r="564" spans="5:5" ht="17.25" customHeight="1">
      <c r="E564" s="71"/>
    </row>
    <row r="565" spans="5:5" ht="17.25" customHeight="1">
      <c r="E565" s="71"/>
    </row>
    <row r="566" spans="5:5" ht="17.25" customHeight="1">
      <c r="E566" s="71"/>
    </row>
    <row r="567" spans="5:5" ht="17.25" customHeight="1">
      <c r="E567" s="71"/>
    </row>
    <row r="568" spans="5:5" ht="17.25" customHeight="1">
      <c r="E568" s="71"/>
    </row>
    <row r="569" spans="5:5" ht="17.25" customHeight="1">
      <c r="E569" s="71"/>
    </row>
    <row r="570" spans="5:5" ht="17.25" customHeight="1">
      <c r="E570" s="71"/>
    </row>
    <row r="571" spans="5:5" ht="17.25" customHeight="1">
      <c r="E571" s="71"/>
    </row>
    <row r="572" spans="5:5" ht="17.25" customHeight="1">
      <c r="E572" s="71"/>
    </row>
  </sheetData>
  <autoFilter ref="A2:E572"/>
  <sortState ref="A3:E99">
    <sortCondition ref="A3:A99"/>
  </sortState>
  <mergeCells count="1">
    <mergeCell ref="A1:E1"/>
  </mergeCells>
  <pageMargins left="0.37" right="0.15748031496062992" top="0.31496062992125984" bottom="0.35433070866141736" header="0.15748031496062992" footer="0.15748031496062992"/>
  <pageSetup paperSize="9" scale="71" orientation="portrait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>
    <tabColor rgb="FFFFFF00"/>
  </sheetPr>
  <dimension ref="A1:N582"/>
  <sheetViews>
    <sheetView showZeros="0" zoomScaleNormal="100" zoomScaleSheetLayoutView="100" workbookViewId="0">
      <pane ySplit="2" topLeftCell="A3" activePane="bottomLeft" state="frozenSplit"/>
      <selection pane="bottomLeft" activeCell="A3" sqref="A3"/>
    </sheetView>
  </sheetViews>
  <sheetFormatPr defaultRowHeight="15"/>
  <cols>
    <col min="1" max="1" width="7.5703125" style="28" customWidth="1"/>
    <col min="2" max="4" width="14.7109375" style="26" customWidth="1"/>
    <col min="5" max="5" width="3.42578125" style="68" hidden="1" customWidth="1"/>
    <col min="6" max="6" width="43.28515625" style="26" customWidth="1"/>
    <col min="7" max="7" width="6.28515625" style="68" customWidth="1"/>
    <col min="8" max="8" width="31" style="68" customWidth="1"/>
    <col min="9" max="10" width="37.7109375" style="68" customWidth="1"/>
    <col min="11" max="11" width="21.140625" style="78" bestFit="1" customWidth="1"/>
    <col min="12" max="12" width="15.28515625" style="78" bestFit="1" customWidth="1"/>
    <col min="13" max="13" width="9.140625" style="78" customWidth="1"/>
    <col min="14" max="14" width="9.140625" style="2"/>
    <col min="15" max="16384" width="9.140625" style="78"/>
  </cols>
  <sheetData>
    <row r="1" spans="1:14" ht="20.100000000000001" customHeight="1">
      <c r="A1" s="78"/>
      <c r="B1" s="180" t="s">
        <v>607</v>
      </c>
      <c r="C1" s="180"/>
      <c r="D1" s="180"/>
      <c r="E1" s="180"/>
      <c r="F1" s="180"/>
      <c r="G1" s="180"/>
      <c r="H1" s="180"/>
      <c r="I1" s="180"/>
      <c r="J1" s="180"/>
      <c r="K1" s="95"/>
      <c r="L1" s="95"/>
    </row>
    <row r="2" spans="1:14" ht="20.100000000000001" customHeight="1">
      <c r="A2" s="161" t="s">
        <v>380</v>
      </c>
      <c r="B2" s="162" t="s">
        <v>934</v>
      </c>
      <c r="C2" s="162" t="s">
        <v>1</v>
      </c>
      <c r="D2" s="162" t="s">
        <v>0</v>
      </c>
      <c r="E2" s="162" t="s">
        <v>606</v>
      </c>
      <c r="F2" s="162" t="s">
        <v>378</v>
      </c>
      <c r="G2" s="162" t="s">
        <v>241</v>
      </c>
      <c r="H2" s="162" t="s">
        <v>614</v>
      </c>
      <c r="I2" s="162">
        <v>2018</v>
      </c>
      <c r="J2" s="162">
        <v>2019</v>
      </c>
      <c r="K2" s="163" t="s">
        <v>1138</v>
      </c>
      <c r="L2" s="163" t="s">
        <v>1038</v>
      </c>
      <c r="M2" s="164" t="s">
        <v>1704</v>
      </c>
      <c r="N2" s="165" t="s">
        <v>1703</v>
      </c>
    </row>
    <row r="3" spans="1:14">
      <c r="A3" s="83">
        <v>1</v>
      </c>
      <c r="B3" s="84" t="s">
        <v>243</v>
      </c>
      <c r="C3" s="84" t="s">
        <v>242</v>
      </c>
      <c r="D3" s="84" t="s">
        <v>1619</v>
      </c>
      <c r="E3" s="68">
        <v>70</v>
      </c>
      <c r="F3" s="84" t="s">
        <v>1572</v>
      </c>
      <c r="G3" s="85">
        <v>1</v>
      </c>
      <c r="H3" s="86" t="s">
        <v>971</v>
      </c>
      <c r="I3" s="86" t="s">
        <v>582</v>
      </c>
      <c r="J3" s="86"/>
      <c r="K3" s="166" t="s">
        <v>1153</v>
      </c>
      <c r="L3" s="167">
        <v>0</v>
      </c>
      <c r="M3" s="2">
        <v>1</v>
      </c>
      <c r="N3" s="2">
        <f t="shared" ref="N3:N66" si="0">COUNTIF(A:A,A3)</f>
        <v>3</v>
      </c>
    </row>
    <row r="4" spans="1:14">
      <c r="A4" s="83">
        <v>1</v>
      </c>
      <c r="B4" s="84" t="s">
        <v>243</v>
      </c>
      <c r="C4" s="84" t="s">
        <v>242</v>
      </c>
      <c r="D4" s="84" t="s">
        <v>1619</v>
      </c>
      <c r="E4" s="68">
        <v>72</v>
      </c>
      <c r="F4" s="84" t="s">
        <v>582</v>
      </c>
      <c r="G4" s="85">
        <v>2</v>
      </c>
      <c r="H4" s="86" t="s">
        <v>971</v>
      </c>
      <c r="I4" s="86" t="s">
        <v>582</v>
      </c>
      <c r="J4" s="86"/>
      <c r="K4" s="166" t="s">
        <v>1153</v>
      </c>
      <c r="L4" s="167">
        <v>0</v>
      </c>
      <c r="M4" s="2">
        <v>1</v>
      </c>
      <c r="N4" s="2">
        <f t="shared" si="0"/>
        <v>3</v>
      </c>
    </row>
    <row r="5" spans="1:14">
      <c r="A5" s="83">
        <v>1</v>
      </c>
      <c r="B5" s="84" t="s">
        <v>243</v>
      </c>
      <c r="C5" s="84" t="s">
        <v>242</v>
      </c>
      <c r="D5" s="84" t="s">
        <v>1619</v>
      </c>
      <c r="E5" s="81">
        <v>9</v>
      </c>
      <c r="F5" s="84" t="s">
        <v>537</v>
      </c>
      <c r="G5" s="85">
        <v>3</v>
      </c>
      <c r="H5" s="86" t="s">
        <v>971</v>
      </c>
      <c r="I5" s="86" t="s">
        <v>582</v>
      </c>
      <c r="J5" s="86"/>
      <c r="K5" s="166" t="s">
        <v>1153</v>
      </c>
      <c r="L5" s="167">
        <v>0</v>
      </c>
      <c r="M5" s="2">
        <v>1</v>
      </c>
      <c r="N5" s="2">
        <f t="shared" si="0"/>
        <v>3</v>
      </c>
    </row>
    <row r="6" spans="1:14">
      <c r="A6" s="89">
        <v>2</v>
      </c>
      <c r="B6" s="90" t="s">
        <v>131</v>
      </c>
      <c r="C6" s="90" t="s">
        <v>616</v>
      </c>
      <c r="D6" s="90" t="s">
        <v>1619</v>
      </c>
      <c r="E6" s="68">
        <v>26</v>
      </c>
      <c r="F6" s="90" t="s">
        <v>1573</v>
      </c>
      <c r="G6" s="91">
        <v>1</v>
      </c>
      <c r="H6" s="92" t="s">
        <v>974</v>
      </c>
      <c r="I6" s="92"/>
      <c r="J6" s="92" t="s">
        <v>1582</v>
      </c>
      <c r="K6" s="168">
        <v>0</v>
      </c>
      <c r="L6" s="169">
        <v>0</v>
      </c>
      <c r="M6" s="2">
        <v>2</v>
      </c>
      <c r="N6" s="2">
        <f t="shared" si="0"/>
        <v>1</v>
      </c>
    </row>
    <row r="7" spans="1:14">
      <c r="A7" s="83">
        <v>5</v>
      </c>
      <c r="B7" s="84" t="s">
        <v>16</v>
      </c>
      <c r="C7" s="84" t="s">
        <v>619</v>
      </c>
      <c r="D7" s="84" t="s">
        <v>1619</v>
      </c>
      <c r="E7" s="68">
        <v>84</v>
      </c>
      <c r="F7" s="84" t="s">
        <v>1574</v>
      </c>
      <c r="G7" s="85">
        <v>1</v>
      </c>
      <c r="H7" s="86" t="s">
        <v>993</v>
      </c>
      <c r="I7" s="86" t="s">
        <v>1574</v>
      </c>
      <c r="J7" s="86" t="s">
        <v>1039</v>
      </c>
      <c r="K7" s="166">
        <v>0</v>
      </c>
      <c r="L7" s="167">
        <v>0</v>
      </c>
      <c r="M7" s="2">
        <v>1</v>
      </c>
      <c r="N7" s="2">
        <f t="shared" si="0"/>
        <v>3</v>
      </c>
    </row>
    <row r="8" spans="1:14">
      <c r="A8" s="83">
        <v>5</v>
      </c>
      <c r="B8" s="84" t="s">
        <v>16</v>
      </c>
      <c r="C8" s="84" t="s">
        <v>619</v>
      </c>
      <c r="D8" s="84" t="s">
        <v>1619</v>
      </c>
      <c r="E8" s="68">
        <v>4</v>
      </c>
      <c r="F8" s="84" t="s">
        <v>1575</v>
      </c>
      <c r="G8" s="85">
        <v>2</v>
      </c>
      <c r="H8" s="86" t="s">
        <v>993</v>
      </c>
      <c r="I8" s="86" t="s">
        <v>1574</v>
      </c>
      <c r="J8" s="86" t="s">
        <v>1039</v>
      </c>
      <c r="K8" s="166">
        <v>0</v>
      </c>
      <c r="L8" s="167">
        <v>0</v>
      </c>
      <c r="M8" s="2">
        <v>1</v>
      </c>
      <c r="N8" s="2">
        <f t="shared" si="0"/>
        <v>3</v>
      </c>
    </row>
    <row r="9" spans="1:14">
      <c r="A9" s="83">
        <v>5</v>
      </c>
      <c r="B9" s="84" t="s">
        <v>16</v>
      </c>
      <c r="C9" s="84" t="s">
        <v>619</v>
      </c>
      <c r="D9" s="84" t="s">
        <v>1619</v>
      </c>
      <c r="E9" s="68">
        <v>9</v>
      </c>
      <c r="F9" s="84" t="s">
        <v>537</v>
      </c>
      <c r="G9" s="85">
        <v>3</v>
      </c>
      <c r="H9" s="86" t="s">
        <v>993</v>
      </c>
      <c r="I9" s="86" t="s">
        <v>1574</v>
      </c>
      <c r="J9" s="86" t="s">
        <v>1039</v>
      </c>
      <c r="K9" s="166">
        <v>0</v>
      </c>
      <c r="L9" s="167">
        <v>0</v>
      </c>
      <c r="M9" s="2">
        <v>1</v>
      </c>
      <c r="N9" s="2">
        <f t="shared" si="0"/>
        <v>3</v>
      </c>
    </row>
    <row r="10" spans="1:14" ht="23.25" customHeight="1">
      <c r="A10" s="89">
        <v>12</v>
      </c>
      <c r="B10" s="90" t="s">
        <v>90</v>
      </c>
      <c r="C10" s="90" t="s">
        <v>627</v>
      </c>
      <c r="D10" s="90" t="s">
        <v>1620</v>
      </c>
      <c r="E10" s="68">
        <v>35</v>
      </c>
      <c r="F10" s="90" t="s">
        <v>1576</v>
      </c>
      <c r="G10" s="91">
        <v>1</v>
      </c>
      <c r="H10" s="92" t="s">
        <v>587</v>
      </c>
      <c r="I10" s="92" t="s">
        <v>1576</v>
      </c>
      <c r="J10" s="92" t="s">
        <v>1681</v>
      </c>
      <c r="K10" s="168">
        <v>0</v>
      </c>
      <c r="L10" s="169">
        <v>0</v>
      </c>
      <c r="M10" s="2">
        <v>2</v>
      </c>
      <c r="N10" s="2">
        <f t="shared" si="0"/>
        <v>5</v>
      </c>
    </row>
    <row r="11" spans="1:14" ht="23.25" customHeight="1">
      <c r="A11" s="16">
        <v>12</v>
      </c>
      <c r="B11" s="17" t="s">
        <v>90</v>
      </c>
      <c r="C11" s="17" t="s">
        <v>627</v>
      </c>
      <c r="D11" s="17" t="s">
        <v>1620</v>
      </c>
      <c r="E11" s="68">
        <v>38</v>
      </c>
      <c r="F11" s="17" t="s">
        <v>1577</v>
      </c>
      <c r="G11" s="65">
        <v>2</v>
      </c>
      <c r="H11" s="66" t="s">
        <v>587</v>
      </c>
      <c r="I11" s="66" t="s">
        <v>1576</v>
      </c>
      <c r="J11" s="92" t="s">
        <v>1681</v>
      </c>
      <c r="K11" s="157">
        <v>0</v>
      </c>
      <c r="L11" s="170">
        <v>0</v>
      </c>
      <c r="M11" s="2">
        <v>2</v>
      </c>
      <c r="N11" s="2">
        <f t="shared" si="0"/>
        <v>5</v>
      </c>
    </row>
    <row r="12" spans="1:14" ht="23.25" customHeight="1">
      <c r="A12" s="16">
        <v>12</v>
      </c>
      <c r="B12" s="17" t="s">
        <v>90</v>
      </c>
      <c r="C12" s="17" t="s">
        <v>627</v>
      </c>
      <c r="D12" s="17" t="s">
        <v>1620</v>
      </c>
      <c r="E12" s="68">
        <v>50</v>
      </c>
      <c r="F12" s="17" t="s">
        <v>559</v>
      </c>
      <c r="G12" s="65">
        <v>3</v>
      </c>
      <c r="H12" s="66" t="s">
        <v>587</v>
      </c>
      <c r="I12" s="66" t="s">
        <v>1576</v>
      </c>
      <c r="J12" s="92" t="s">
        <v>1681</v>
      </c>
      <c r="K12" s="157">
        <v>0</v>
      </c>
      <c r="L12" s="170">
        <v>0</v>
      </c>
      <c r="M12" s="2">
        <v>2</v>
      </c>
      <c r="N12" s="2">
        <f t="shared" si="0"/>
        <v>5</v>
      </c>
    </row>
    <row r="13" spans="1:14" ht="23.25" customHeight="1">
      <c r="A13" s="16">
        <v>12</v>
      </c>
      <c r="B13" s="17" t="s">
        <v>90</v>
      </c>
      <c r="C13" s="17" t="s">
        <v>627</v>
      </c>
      <c r="D13" s="17" t="s">
        <v>1620</v>
      </c>
      <c r="E13" s="68">
        <v>85</v>
      </c>
      <c r="F13" s="17" t="s">
        <v>1578</v>
      </c>
      <c r="G13" s="65">
        <v>4</v>
      </c>
      <c r="H13" s="66" t="s">
        <v>587</v>
      </c>
      <c r="I13" s="66" t="s">
        <v>1576</v>
      </c>
      <c r="J13" s="92" t="s">
        <v>1681</v>
      </c>
      <c r="K13" s="157">
        <v>0</v>
      </c>
      <c r="L13" s="170">
        <v>0</v>
      </c>
      <c r="M13" s="2">
        <v>2</v>
      </c>
      <c r="N13" s="2">
        <f t="shared" si="0"/>
        <v>5</v>
      </c>
    </row>
    <row r="14" spans="1:14" ht="23.25" customHeight="1">
      <c r="A14" s="16">
        <v>12</v>
      </c>
      <c r="B14" s="17" t="s">
        <v>90</v>
      </c>
      <c r="C14" s="17" t="s">
        <v>627</v>
      </c>
      <c r="D14" s="17" t="s">
        <v>1620</v>
      </c>
      <c r="E14" s="68">
        <v>90</v>
      </c>
      <c r="F14" s="17" t="s">
        <v>1579</v>
      </c>
      <c r="G14" s="65">
        <v>5</v>
      </c>
      <c r="H14" s="66" t="s">
        <v>587</v>
      </c>
      <c r="I14" s="66" t="s">
        <v>1576</v>
      </c>
      <c r="J14" s="92" t="s">
        <v>1681</v>
      </c>
      <c r="K14" s="157">
        <v>0</v>
      </c>
      <c r="L14" s="170">
        <v>0</v>
      </c>
      <c r="M14" s="2">
        <v>2</v>
      </c>
      <c r="N14" s="2">
        <f t="shared" si="0"/>
        <v>5</v>
      </c>
    </row>
    <row r="15" spans="1:14">
      <c r="A15" s="83">
        <v>13</v>
      </c>
      <c r="B15" s="84" t="s">
        <v>175</v>
      </c>
      <c r="C15" s="84" t="s">
        <v>629</v>
      </c>
      <c r="D15" s="84" t="s">
        <v>1566</v>
      </c>
      <c r="E15" s="68">
        <v>33</v>
      </c>
      <c r="F15" s="84" t="s">
        <v>1580</v>
      </c>
      <c r="G15" s="85">
        <v>1</v>
      </c>
      <c r="H15" s="86" t="s">
        <v>992</v>
      </c>
      <c r="I15" s="86" t="s">
        <v>1669</v>
      </c>
      <c r="J15" s="86" t="s">
        <v>1682</v>
      </c>
      <c r="K15" s="166">
        <v>0</v>
      </c>
      <c r="L15" s="167">
        <v>0</v>
      </c>
      <c r="M15" s="2">
        <v>1</v>
      </c>
      <c r="N15" s="2">
        <f t="shared" si="0"/>
        <v>5</v>
      </c>
    </row>
    <row r="16" spans="1:14">
      <c r="A16" s="83">
        <v>13</v>
      </c>
      <c r="B16" s="84" t="s">
        <v>175</v>
      </c>
      <c r="C16" s="84" t="s">
        <v>629</v>
      </c>
      <c r="D16" s="84" t="s">
        <v>1566</v>
      </c>
      <c r="E16" s="68">
        <v>34</v>
      </c>
      <c r="F16" s="84" t="s">
        <v>1581</v>
      </c>
      <c r="G16" s="85">
        <v>2</v>
      </c>
      <c r="H16" s="86" t="s">
        <v>992</v>
      </c>
      <c r="I16" s="86" t="s">
        <v>1669</v>
      </c>
      <c r="J16" s="86" t="s">
        <v>1682</v>
      </c>
      <c r="K16" s="166">
        <v>0</v>
      </c>
      <c r="L16" s="167">
        <v>0</v>
      </c>
      <c r="M16" s="2">
        <v>1</v>
      </c>
      <c r="N16" s="2">
        <f t="shared" si="0"/>
        <v>5</v>
      </c>
    </row>
    <row r="17" spans="1:14">
      <c r="A17" s="83">
        <v>13</v>
      </c>
      <c r="B17" s="84" t="s">
        <v>175</v>
      </c>
      <c r="C17" s="84" t="s">
        <v>629</v>
      </c>
      <c r="D17" s="84" t="s">
        <v>1566</v>
      </c>
      <c r="E17" s="68">
        <v>43</v>
      </c>
      <c r="F17" s="84" t="s">
        <v>1582</v>
      </c>
      <c r="G17" s="85">
        <v>3</v>
      </c>
      <c r="H17" s="86" t="s">
        <v>992</v>
      </c>
      <c r="I17" s="86" t="s">
        <v>1669</v>
      </c>
      <c r="J17" s="86" t="s">
        <v>1682</v>
      </c>
      <c r="K17" s="166">
        <v>0</v>
      </c>
      <c r="L17" s="167">
        <v>0</v>
      </c>
      <c r="M17" s="2">
        <v>1</v>
      </c>
      <c r="N17" s="2">
        <f t="shared" si="0"/>
        <v>5</v>
      </c>
    </row>
    <row r="18" spans="1:14">
      <c r="A18" s="83">
        <v>13</v>
      </c>
      <c r="B18" s="84" t="s">
        <v>175</v>
      </c>
      <c r="C18" s="84" t="s">
        <v>629</v>
      </c>
      <c r="D18" s="84" t="s">
        <v>1566</v>
      </c>
      <c r="E18" s="68">
        <v>89</v>
      </c>
      <c r="F18" s="84" t="s">
        <v>1583</v>
      </c>
      <c r="G18" s="85">
        <v>4</v>
      </c>
      <c r="H18" s="86" t="s">
        <v>992</v>
      </c>
      <c r="I18" s="86" t="s">
        <v>1669</v>
      </c>
      <c r="J18" s="86" t="s">
        <v>1682</v>
      </c>
      <c r="K18" s="166">
        <v>0</v>
      </c>
      <c r="L18" s="167">
        <v>0</v>
      </c>
      <c r="M18" s="2">
        <v>1</v>
      </c>
      <c r="N18" s="2">
        <f t="shared" si="0"/>
        <v>5</v>
      </c>
    </row>
    <row r="19" spans="1:14">
      <c r="A19" s="83">
        <v>13</v>
      </c>
      <c r="B19" s="84" t="s">
        <v>175</v>
      </c>
      <c r="C19" s="84" t="s">
        <v>629</v>
      </c>
      <c r="D19" s="84" t="s">
        <v>1566</v>
      </c>
      <c r="E19" s="68">
        <v>67</v>
      </c>
      <c r="F19" s="84" t="s">
        <v>1584</v>
      </c>
      <c r="G19" s="85">
        <v>5</v>
      </c>
      <c r="H19" s="86" t="s">
        <v>992</v>
      </c>
      <c r="I19" s="86" t="s">
        <v>1669</v>
      </c>
      <c r="J19" s="86" t="s">
        <v>1682</v>
      </c>
      <c r="K19" s="166">
        <v>0</v>
      </c>
      <c r="L19" s="167">
        <v>0</v>
      </c>
      <c r="M19" s="2">
        <v>1</v>
      </c>
      <c r="N19" s="2">
        <f t="shared" si="0"/>
        <v>5</v>
      </c>
    </row>
    <row r="20" spans="1:14">
      <c r="A20" s="89">
        <v>16</v>
      </c>
      <c r="B20" s="90" t="s">
        <v>120</v>
      </c>
      <c r="C20" s="90" t="s">
        <v>631</v>
      </c>
      <c r="D20" s="90" t="s">
        <v>1621</v>
      </c>
      <c r="E20" s="68">
        <v>89</v>
      </c>
      <c r="F20" s="90" t="s">
        <v>1583</v>
      </c>
      <c r="G20" s="91">
        <v>1</v>
      </c>
      <c r="H20" s="92" t="s">
        <v>1014</v>
      </c>
      <c r="I20" s="92"/>
      <c r="J20" s="92" t="s">
        <v>1683</v>
      </c>
      <c r="K20" s="168" t="s">
        <v>1153</v>
      </c>
      <c r="L20" s="169">
        <v>0</v>
      </c>
      <c r="M20" s="2">
        <v>2</v>
      </c>
      <c r="N20" s="2">
        <f t="shared" si="0"/>
        <v>5</v>
      </c>
    </row>
    <row r="21" spans="1:14">
      <c r="A21" s="16">
        <v>16</v>
      </c>
      <c r="B21" s="17" t="s">
        <v>120</v>
      </c>
      <c r="C21" s="17" t="s">
        <v>631</v>
      </c>
      <c r="D21" s="17" t="s">
        <v>1621</v>
      </c>
      <c r="E21" s="68">
        <v>55</v>
      </c>
      <c r="F21" s="17" t="s">
        <v>1585</v>
      </c>
      <c r="G21" s="65">
        <v>2</v>
      </c>
      <c r="H21" s="66" t="s">
        <v>1014</v>
      </c>
      <c r="I21" s="66"/>
      <c r="J21" s="66" t="s">
        <v>1683</v>
      </c>
      <c r="K21" s="157" t="s">
        <v>1153</v>
      </c>
      <c r="L21" s="170">
        <v>0</v>
      </c>
      <c r="M21" s="2">
        <v>2</v>
      </c>
      <c r="N21" s="2">
        <f t="shared" si="0"/>
        <v>5</v>
      </c>
    </row>
    <row r="22" spans="1:14">
      <c r="A22" s="16">
        <v>16</v>
      </c>
      <c r="B22" s="17" t="s">
        <v>120</v>
      </c>
      <c r="C22" s="17" t="s">
        <v>631</v>
      </c>
      <c r="D22" s="17" t="s">
        <v>1621</v>
      </c>
      <c r="E22" s="68">
        <v>26</v>
      </c>
      <c r="F22" s="17" t="s">
        <v>1573</v>
      </c>
      <c r="G22" s="65">
        <v>3</v>
      </c>
      <c r="H22" s="66" t="s">
        <v>1014</v>
      </c>
      <c r="I22" s="66"/>
      <c r="J22" s="66" t="s">
        <v>1683</v>
      </c>
      <c r="K22" s="157" t="s">
        <v>1153</v>
      </c>
      <c r="L22" s="170">
        <v>0</v>
      </c>
      <c r="M22" s="2">
        <v>2</v>
      </c>
      <c r="N22" s="2">
        <f t="shared" si="0"/>
        <v>5</v>
      </c>
    </row>
    <row r="23" spans="1:14">
      <c r="A23" s="16">
        <v>16</v>
      </c>
      <c r="B23" s="17" t="s">
        <v>120</v>
      </c>
      <c r="C23" s="17" t="s">
        <v>631</v>
      </c>
      <c r="D23" s="17" t="s">
        <v>1621</v>
      </c>
      <c r="E23" s="68">
        <v>43</v>
      </c>
      <c r="F23" s="17" t="s">
        <v>1582</v>
      </c>
      <c r="G23" s="65">
        <v>4</v>
      </c>
      <c r="H23" s="66" t="s">
        <v>1014</v>
      </c>
      <c r="I23" s="66"/>
      <c r="J23" s="66" t="s">
        <v>1683</v>
      </c>
      <c r="K23" s="157" t="s">
        <v>1153</v>
      </c>
      <c r="L23" s="170">
        <v>0</v>
      </c>
      <c r="M23" s="2">
        <v>2</v>
      </c>
      <c r="N23" s="2">
        <f t="shared" si="0"/>
        <v>5</v>
      </c>
    </row>
    <row r="24" spans="1:14">
      <c r="A24" s="16">
        <v>16</v>
      </c>
      <c r="B24" s="17" t="s">
        <v>120</v>
      </c>
      <c r="C24" s="17" t="s">
        <v>631</v>
      </c>
      <c r="D24" s="17" t="s">
        <v>1621</v>
      </c>
      <c r="E24" s="68">
        <v>23</v>
      </c>
      <c r="F24" s="17" t="s">
        <v>1586</v>
      </c>
      <c r="G24" s="65">
        <v>5</v>
      </c>
      <c r="H24" s="66" t="s">
        <v>1014</v>
      </c>
      <c r="I24" s="66"/>
      <c r="J24" s="66" t="s">
        <v>1683</v>
      </c>
      <c r="K24" s="157" t="s">
        <v>1153</v>
      </c>
      <c r="L24" s="170">
        <v>0</v>
      </c>
      <c r="M24" s="2">
        <v>2</v>
      </c>
      <c r="N24" s="2">
        <f t="shared" si="0"/>
        <v>5</v>
      </c>
    </row>
    <row r="25" spans="1:14">
      <c r="A25" s="83">
        <v>17</v>
      </c>
      <c r="B25" s="84" t="s">
        <v>634</v>
      </c>
      <c r="C25" s="84" t="s">
        <v>633</v>
      </c>
      <c r="D25" s="84" t="s">
        <v>1621</v>
      </c>
      <c r="E25" s="68">
        <v>16</v>
      </c>
      <c r="F25" s="84" t="s">
        <v>544</v>
      </c>
      <c r="G25" s="85">
        <v>1</v>
      </c>
      <c r="H25" s="86" t="s">
        <v>984</v>
      </c>
      <c r="I25" s="86"/>
      <c r="J25" s="86" t="s">
        <v>1684</v>
      </c>
      <c r="K25" s="166">
        <v>0</v>
      </c>
      <c r="L25" s="167">
        <v>0</v>
      </c>
      <c r="M25" s="2">
        <v>1</v>
      </c>
      <c r="N25" s="2">
        <f t="shared" si="0"/>
        <v>5</v>
      </c>
    </row>
    <row r="26" spans="1:14">
      <c r="A26" s="83">
        <v>17</v>
      </c>
      <c r="B26" s="84" t="s">
        <v>634</v>
      </c>
      <c r="C26" s="84" t="s">
        <v>633</v>
      </c>
      <c r="D26" s="84" t="s">
        <v>1621</v>
      </c>
      <c r="E26" s="68">
        <v>83</v>
      </c>
      <c r="F26" s="84" t="s">
        <v>548</v>
      </c>
      <c r="G26" s="85">
        <v>2</v>
      </c>
      <c r="H26" s="86" t="s">
        <v>984</v>
      </c>
      <c r="I26" s="86"/>
      <c r="J26" s="86" t="s">
        <v>1684</v>
      </c>
      <c r="K26" s="166">
        <v>0</v>
      </c>
      <c r="L26" s="167">
        <v>0</v>
      </c>
      <c r="M26" s="2">
        <v>1</v>
      </c>
      <c r="N26" s="2">
        <f t="shared" si="0"/>
        <v>5</v>
      </c>
    </row>
    <row r="27" spans="1:14">
      <c r="A27" s="83">
        <v>17</v>
      </c>
      <c r="B27" s="84" t="s">
        <v>634</v>
      </c>
      <c r="C27" s="84" t="s">
        <v>633</v>
      </c>
      <c r="D27" s="84" t="s">
        <v>1621</v>
      </c>
      <c r="E27" s="68">
        <v>85</v>
      </c>
      <c r="F27" s="84" t="s">
        <v>1578</v>
      </c>
      <c r="G27" s="85">
        <v>3</v>
      </c>
      <c r="H27" s="86" t="s">
        <v>984</v>
      </c>
      <c r="I27" s="86"/>
      <c r="J27" s="86" t="s">
        <v>1684</v>
      </c>
      <c r="K27" s="166">
        <v>0</v>
      </c>
      <c r="L27" s="167">
        <v>0</v>
      </c>
      <c r="M27" s="2">
        <v>1</v>
      </c>
      <c r="N27" s="2">
        <f t="shared" si="0"/>
        <v>5</v>
      </c>
    </row>
    <row r="28" spans="1:14">
      <c r="A28" s="83">
        <v>17</v>
      </c>
      <c r="B28" s="84" t="s">
        <v>634</v>
      </c>
      <c r="C28" s="84" t="s">
        <v>633</v>
      </c>
      <c r="D28" s="84" t="s">
        <v>1621</v>
      </c>
      <c r="E28" s="68">
        <v>88</v>
      </c>
      <c r="F28" s="84" t="s">
        <v>953</v>
      </c>
      <c r="G28" s="85">
        <v>4</v>
      </c>
      <c r="H28" s="86" t="s">
        <v>984</v>
      </c>
      <c r="I28" s="86"/>
      <c r="J28" s="86" t="s">
        <v>1684</v>
      </c>
      <c r="K28" s="166">
        <v>0</v>
      </c>
      <c r="L28" s="167">
        <v>0</v>
      </c>
      <c r="M28" s="2">
        <v>1</v>
      </c>
      <c r="N28" s="2">
        <f t="shared" si="0"/>
        <v>5</v>
      </c>
    </row>
    <row r="29" spans="1:14">
      <c r="A29" s="83">
        <v>17</v>
      </c>
      <c r="B29" s="84" t="s">
        <v>634</v>
      </c>
      <c r="C29" s="84" t="s">
        <v>633</v>
      </c>
      <c r="D29" s="84" t="s">
        <v>1621</v>
      </c>
      <c r="E29" s="68">
        <v>92</v>
      </c>
      <c r="F29" s="84" t="s">
        <v>531</v>
      </c>
      <c r="G29" s="85">
        <v>5</v>
      </c>
      <c r="H29" s="86" t="s">
        <v>984</v>
      </c>
      <c r="I29" s="86"/>
      <c r="J29" s="86" t="s">
        <v>1684</v>
      </c>
      <c r="K29" s="166">
        <v>0</v>
      </c>
      <c r="L29" s="167">
        <v>0</v>
      </c>
      <c r="M29" s="2">
        <v>1</v>
      </c>
      <c r="N29" s="2">
        <f t="shared" si="0"/>
        <v>5</v>
      </c>
    </row>
    <row r="30" spans="1:14">
      <c r="A30" s="89">
        <v>22</v>
      </c>
      <c r="B30" s="90" t="s">
        <v>113</v>
      </c>
      <c r="C30" s="90" t="s">
        <v>246</v>
      </c>
      <c r="D30" s="90" t="s">
        <v>1622</v>
      </c>
      <c r="E30" s="68">
        <v>30</v>
      </c>
      <c r="F30" s="90" t="s">
        <v>572</v>
      </c>
      <c r="G30" s="91">
        <v>1</v>
      </c>
      <c r="H30" s="92" t="s">
        <v>590</v>
      </c>
      <c r="I30" s="92"/>
      <c r="J30" s="92"/>
      <c r="K30" s="168">
        <v>0</v>
      </c>
      <c r="L30" s="169">
        <v>0</v>
      </c>
      <c r="M30" s="2">
        <v>2</v>
      </c>
      <c r="N30" s="2">
        <f t="shared" si="0"/>
        <v>4</v>
      </c>
    </row>
    <row r="31" spans="1:14">
      <c r="A31" s="16">
        <v>22</v>
      </c>
      <c r="B31" s="17" t="s">
        <v>113</v>
      </c>
      <c r="C31" s="17" t="s">
        <v>246</v>
      </c>
      <c r="D31" s="17" t="s">
        <v>1622</v>
      </c>
      <c r="E31" s="68">
        <v>29</v>
      </c>
      <c r="F31" s="17" t="s">
        <v>571</v>
      </c>
      <c r="G31" s="65">
        <v>2</v>
      </c>
      <c r="H31" s="66" t="s">
        <v>590</v>
      </c>
      <c r="I31" s="66"/>
      <c r="J31" s="66"/>
      <c r="K31" s="157">
        <v>0</v>
      </c>
      <c r="L31" s="170">
        <v>0</v>
      </c>
      <c r="M31" s="2">
        <v>2</v>
      </c>
      <c r="N31" s="2">
        <f t="shared" si="0"/>
        <v>4</v>
      </c>
    </row>
    <row r="32" spans="1:14">
      <c r="A32" s="16">
        <v>22</v>
      </c>
      <c r="B32" s="17" t="s">
        <v>113</v>
      </c>
      <c r="C32" s="17" t="s">
        <v>246</v>
      </c>
      <c r="D32" s="17" t="s">
        <v>1622</v>
      </c>
      <c r="E32" s="68">
        <v>32</v>
      </c>
      <c r="F32" s="17" t="s">
        <v>549</v>
      </c>
      <c r="G32" s="65">
        <v>3</v>
      </c>
      <c r="H32" s="66" t="s">
        <v>590</v>
      </c>
      <c r="I32" s="66"/>
      <c r="J32" s="66"/>
      <c r="K32" s="157">
        <v>0</v>
      </c>
      <c r="L32" s="170">
        <v>0</v>
      </c>
      <c r="M32" s="2">
        <v>2</v>
      </c>
      <c r="N32" s="2">
        <f t="shared" si="0"/>
        <v>4</v>
      </c>
    </row>
    <row r="33" spans="1:14">
      <c r="A33" s="16">
        <v>22</v>
      </c>
      <c r="B33" s="17" t="s">
        <v>113</v>
      </c>
      <c r="C33" s="17" t="s">
        <v>246</v>
      </c>
      <c r="D33" s="17" t="s">
        <v>1622</v>
      </c>
      <c r="E33" s="68">
        <v>39</v>
      </c>
      <c r="F33" s="17" t="s">
        <v>545</v>
      </c>
      <c r="G33" s="65">
        <v>4</v>
      </c>
      <c r="H33" s="66" t="s">
        <v>590</v>
      </c>
      <c r="I33" s="66"/>
      <c r="J33" s="66"/>
      <c r="K33" s="157">
        <v>0</v>
      </c>
      <c r="L33" s="170">
        <v>0</v>
      </c>
      <c r="M33" s="2">
        <v>2</v>
      </c>
      <c r="N33" s="2">
        <f t="shared" si="0"/>
        <v>4</v>
      </c>
    </row>
    <row r="34" spans="1:14">
      <c r="A34" s="83">
        <v>24</v>
      </c>
      <c r="B34" s="84" t="s">
        <v>639</v>
      </c>
      <c r="C34" s="84" t="s">
        <v>17</v>
      </c>
      <c r="D34" s="84" t="s">
        <v>1622</v>
      </c>
      <c r="E34" s="68">
        <v>20</v>
      </c>
      <c r="F34" s="84" t="s">
        <v>1587</v>
      </c>
      <c r="G34" s="85">
        <v>1</v>
      </c>
      <c r="H34" s="86" t="s">
        <v>1001</v>
      </c>
      <c r="I34" s="86" t="s">
        <v>549</v>
      </c>
      <c r="J34" s="86"/>
      <c r="K34" s="166" t="s">
        <v>1156</v>
      </c>
      <c r="L34" s="167">
        <v>0</v>
      </c>
      <c r="M34" s="2">
        <v>1</v>
      </c>
      <c r="N34" s="2">
        <f t="shared" si="0"/>
        <v>1</v>
      </c>
    </row>
    <row r="35" spans="1:14">
      <c r="A35" s="89">
        <v>25</v>
      </c>
      <c r="B35" s="90" t="s">
        <v>181</v>
      </c>
      <c r="C35" s="90" t="s">
        <v>180</v>
      </c>
      <c r="D35" s="90" t="s">
        <v>1622</v>
      </c>
      <c r="E35" s="68">
        <v>18</v>
      </c>
      <c r="F35" s="90" t="s">
        <v>1588</v>
      </c>
      <c r="G35" s="91">
        <v>1</v>
      </c>
      <c r="H35" s="92" t="s">
        <v>588</v>
      </c>
      <c r="I35" s="92" t="s">
        <v>615</v>
      </c>
      <c r="J35" s="92"/>
      <c r="K35" s="168" t="s">
        <v>1157</v>
      </c>
      <c r="L35" s="169">
        <v>0</v>
      </c>
      <c r="M35" s="2">
        <v>2</v>
      </c>
      <c r="N35" s="2">
        <f t="shared" si="0"/>
        <v>4</v>
      </c>
    </row>
    <row r="36" spans="1:14">
      <c r="A36" s="16">
        <v>25</v>
      </c>
      <c r="B36" s="17" t="s">
        <v>181</v>
      </c>
      <c r="C36" s="17" t="s">
        <v>180</v>
      </c>
      <c r="D36" s="17" t="s">
        <v>1622</v>
      </c>
      <c r="E36" s="68">
        <v>19</v>
      </c>
      <c r="F36" s="17" t="s">
        <v>615</v>
      </c>
      <c r="G36" s="65">
        <v>2</v>
      </c>
      <c r="H36" s="66" t="s">
        <v>588</v>
      </c>
      <c r="I36" s="66" t="s">
        <v>615</v>
      </c>
      <c r="J36" s="66"/>
      <c r="K36" s="157" t="s">
        <v>1157</v>
      </c>
      <c r="L36" s="170">
        <v>0</v>
      </c>
      <c r="M36" s="2">
        <v>2</v>
      </c>
      <c r="N36" s="2">
        <f t="shared" si="0"/>
        <v>4</v>
      </c>
    </row>
    <row r="37" spans="1:14">
      <c r="A37" s="16">
        <v>25</v>
      </c>
      <c r="B37" s="17" t="s">
        <v>181</v>
      </c>
      <c r="C37" s="17" t="s">
        <v>180</v>
      </c>
      <c r="D37" s="17" t="s">
        <v>1622</v>
      </c>
      <c r="E37" s="68">
        <v>21</v>
      </c>
      <c r="F37" s="17" t="s">
        <v>950</v>
      </c>
      <c r="G37" s="65">
        <v>3</v>
      </c>
      <c r="H37" s="66" t="s">
        <v>588</v>
      </c>
      <c r="I37" s="66" t="s">
        <v>615</v>
      </c>
      <c r="J37" s="66"/>
      <c r="K37" s="157" t="s">
        <v>1157</v>
      </c>
      <c r="L37" s="170">
        <v>0</v>
      </c>
      <c r="M37" s="2">
        <v>2</v>
      </c>
      <c r="N37" s="2">
        <f t="shared" si="0"/>
        <v>4</v>
      </c>
    </row>
    <row r="38" spans="1:14">
      <c r="A38" s="16">
        <v>25</v>
      </c>
      <c r="B38" s="17" t="s">
        <v>181</v>
      </c>
      <c r="C38" s="17" t="s">
        <v>180</v>
      </c>
      <c r="D38" s="17" t="s">
        <v>1622</v>
      </c>
      <c r="E38" s="68">
        <v>22</v>
      </c>
      <c r="F38" s="17" t="s">
        <v>956</v>
      </c>
      <c r="G38" s="65">
        <v>4</v>
      </c>
      <c r="H38" s="66" t="s">
        <v>588</v>
      </c>
      <c r="I38" s="66" t="s">
        <v>615</v>
      </c>
      <c r="J38" s="66"/>
      <c r="K38" s="157" t="s">
        <v>1157</v>
      </c>
      <c r="L38" s="170">
        <v>0</v>
      </c>
      <c r="M38" s="2">
        <v>2</v>
      </c>
      <c r="N38" s="2">
        <f t="shared" si="0"/>
        <v>4</v>
      </c>
    </row>
    <row r="39" spans="1:14">
      <c r="A39" s="83">
        <v>26</v>
      </c>
      <c r="B39" s="84" t="s">
        <v>642</v>
      </c>
      <c r="C39" s="84" t="s">
        <v>641</v>
      </c>
      <c r="D39" s="84" t="s">
        <v>1622</v>
      </c>
      <c r="E39" s="68">
        <v>78</v>
      </c>
      <c r="F39" s="84" t="s">
        <v>1589</v>
      </c>
      <c r="G39" s="85">
        <v>1</v>
      </c>
      <c r="H39" s="86" t="s">
        <v>985</v>
      </c>
      <c r="I39" s="86" t="s">
        <v>1613</v>
      </c>
      <c r="J39" s="86"/>
      <c r="K39" s="166">
        <v>0</v>
      </c>
      <c r="L39" s="167">
        <v>0</v>
      </c>
      <c r="M39" s="2">
        <v>1</v>
      </c>
      <c r="N39" s="2">
        <f t="shared" si="0"/>
        <v>1</v>
      </c>
    </row>
    <row r="40" spans="1:14">
      <c r="A40" s="89">
        <v>30</v>
      </c>
      <c r="B40" s="90" t="s">
        <v>99</v>
      </c>
      <c r="C40" s="90" t="s">
        <v>645</v>
      </c>
      <c r="D40" s="90" t="s">
        <v>1622</v>
      </c>
      <c r="E40" s="68">
        <v>31</v>
      </c>
      <c r="F40" s="90" t="s">
        <v>1590</v>
      </c>
      <c r="G40" s="91">
        <v>1</v>
      </c>
      <c r="H40" s="92" t="s">
        <v>971</v>
      </c>
      <c r="I40" s="92"/>
      <c r="J40" s="92"/>
      <c r="K40" s="168">
        <v>0</v>
      </c>
      <c r="L40" s="169">
        <v>0</v>
      </c>
      <c r="M40" s="2">
        <v>2</v>
      </c>
      <c r="N40" s="2">
        <f t="shared" si="0"/>
        <v>2</v>
      </c>
    </row>
    <row r="41" spans="1:14">
      <c r="A41" s="16">
        <v>30</v>
      </c>
      <c r="B41" s="17" t="s">
        <v>99</v>
      </c>
      <c r="C41" s="17" t="s">
        <v>645</v>
      </c>
      <c r="D41" s="17" t="s">
        <v>1622</v>
      </c>
      <c r="E41" s="68">
        <v>49</v>
      </c>
      <c r="F41" s="17" t="s">
        <v>1591</v>
      </c>
      <c r="G41" s="65">
        <v>2</v>
      </c>
      <c r="H41" s="66" t="s">
        <v>971</v>
      </c>
      <c r="I41" s="66"/>
      <c r="J41" s="66"/>
      <c r="K41" s="157">
        <v>0</v>
      </c>
      <c r="L41" s="170">
        <v>0</v>
      </c>
      <c r="M41" s="2">
        <v>2</v>
      </c>
      <c r="N41" s="2">
        <f t="shared" si="0"/>
        <v>2</v>
      </c>
    </row>
    <row r="42" spans="1:14">
      <c r="A42" s="83">
        <v>31</v>
      </c>
      <c r="B42" s="84" t="s">
        <v>647</v>
      </c>
      <c r="C42" s="84" t="s">
        <v>126</v>
      </c>
      <c r="D42" s="84" t="s">
        <v>1622</v>
      </c>
      <c r="E42" s="68">
        <v>64</v>
      </c>
      <c r="F42" s="84" t="s">
        <v>1592</v>
      </c>
      <c r="G42" s="85">
        <v>1</v>
      </c>
      <c r="H42" s="86" t="s">
        <v>587</v>
      </c>
      <c r="I42" s="86" t="s">
        <v>1670</v>
      </c>
      <c r="J42" s="86" t="s">
        <v>1055</v>
      </c>
      <c r="K42" s="166">
        <v>0</v>
      </c>
      <c r="L42" s="167">
        <v>0</v>
      </c>
      <c r="M42" s="2">
        <v>1</v>
      </c>
      <c r="N42" s="2">
        <f t="shared" si="0"/>
        <v>5</v>
      </c>
    </row>
    <row r="43" spans="1:14">
      <c r="A43" s="83">
        <v>31</v>
      </c>
      <c r="B43" s="84" t="s">
        <v>647</v>
      </c>
      <c r="C43" s="84" t="s">
        <v>126</v>
      </c>
      <c r="D43" s="84" t="s">
        <v>1622</v>
      </c>
      <c r="E43" s="68">
        <v>97</v>
      </c>
      <c r="F43" s="84" t="s">
        <v>939</v>
      </c>
      <c r="G43" s="85">
        <v>2</v>
      </c>
      <c r="H43" s="86" t="s">
        <v>587</v>
      </c>
      <c r="I43" s="86" t="s">
        <v>1670</v>
      </c>
      <c r="J43" s="86" t="s">
        <v>1055</v>
      </c>
      <c r="K43" s="166">
        <v>0</v>
      </c>
      <c r="L43" s="167">
        <v>0</v>
      </c>
      <c r="M43" s="2">
        <v>1</v>
      </c>
      <c r="N43" s="2">
        <f t="shared" si="0"/>
        <v>5</v>
      </c>
    </row>
    <row r="44" spans="1:14">
      <c r="A44" s="83">
        <v>31</v>
      </c>
      <c r="B44" s="84" t="s">
        <v>647</v>
      </c>
      <c r="C44" s="84" t="s">
        <v>126</v>
      </c>
      <c r="D44" s="84" t="s">
        <v>1622</v>
      </c>
      <c r="E44" s="68">
        <v>82</v>
      </c>
      <c r="F44" s="84" t="s">
        <v>1593</v>
      </c>
      <c r="G44" s="85">
        <v>3</v>
      </c>
      <c r="H44" s="86" t="s">
        <v>587</v>
      </c>
      <c r="I44" s="86" t="s">
        <v>1670</v>
      </c>
      <c r="J44" s="86" t="s">
        <v>1055</v>
      </c>
      <c r="K44" s="166">
        <v>0</v>
      </c>
      <c r="L44" s="167">
        <v>0</v>
      </c>
      <c r="M44" s="2">
        <v>1</v>
      </c>
      <c r="N44" s="2">
        <f t="shared" si="0"/>
        <v>5</v>
      </c>
    </row>
    <row r="45" spans="1:14">
      <c r="A45" s="83">
        <v>31</v>
      </c>
      <c r="B45" s="84" t="s">
        <v>647</v>
      </c>
      <c r="C45" s="84" t="s">
        <v>126</v>
      </c>
      <c r="D45" s="84" t="s">
        <v>1622</v>
      </c>
      <c r="E45" s="68">
        <v>66</v>
      </c>
      <c r="F45" s="84" t="s">
        <v>958</v>
      </c>
      <c r="G45" s="85">
        <v>4</v>
      </c>
      <c r="H45" s="86" t="s">
        <v>587</v>
      </c>
      <c r="I45" s="86" t="s">
        <v>1670</v>
      </c>
      <c r="J45" s="86" t="s">
        <v>1055</v>
      </c>
      <c r="K45" s="166">
        <v>0</v>
      </c>
      <c r="L45" s="167">
        <v>0</v>
      </c>
      <c r="M45" s="2">
        <v>1</v>
      </c>
      <c r="N45" s="2">
        <f t="shared" si="0"/>
        <v>5</v>
      </c>
    </row>
    <row r="46" spans="1:14">
      <c r="A46" s="83">
        <v>31</v>
      </c>
      <c r="B46" s="84" t="s">
        <v>647</v>
      </c>
      <c r="C46" s="84" t="s">
        <v>126</v>
      </c>
      <c r="D46" s="84" t="s">
        <v>1622</v>
      </c>
      <c r="E46" s="68">
        <v>65</v>
      </c>
      <c r="F46" s="84" t="s">
        <v>578</v>
      </c>
      <c r="G46" s="85">
        <v>5</v>
      </c>
      <c r="H46" s="86" t="s">
        <v>587</v>
      </c>
      <c r="I46" s="86" t="s">
        <v>1670</v>
      </c>
      <c r="J46" s="86" t="s">
        <v>1055</v>
      </c>
      <c r="K46" s="166">
        <v>0</v>
      </c>
      <c r="L46" s="167">
        <v>0</v>
      </c>
      <c r="M46" s="2">
        <v>1</v>
      </c>
      <c r="N46" s="2">
        <f t="shared" si="0"/>
        <v>5</v>
      </c>
    </row>
    <row r="47" spans="1:14">
      <c r="A47" s="89">
        <v>32</v>
      </c>
      <c r="B47" s="90" t="s">
        <v>90</v>
      </c>
      <c r="C47" s="90" t="s">
        <v>15</v>
      </c>
      <c r="D47" s="90" t="s">
        <v>1567</v>
      </c>
      <c r="E47" s="68">
        <v>27</v>
      </c>
      <c r="F47" s="90" t="s">
        <v>569</v>
      </c>
      <c r="G47" s="91">
        <v>1</v>
      </c>
      <c r="H47" s="92" t="s">
        <v>592</v>
      </c>
      <c r="I47" s="92" t="s">
        <v>569</v>
      </c>
      <c r="J47" s="92" t="s">
        <v>569</v>
      </c>
      <c r="K47" s="168">
        <v>0</v>
      </c>
      <c r="L47" s="169">
        <v>0</v>
      </c>
      <c r="M47" s="2">
        <v>2</v>
      </c>
      <c r="N47" s="2">
        <f t="shared" si="0"/>
        <v>1</v>
      </c>
    </row>
    <row r="48" spans="1:14">
      <c r="A48" s="83">
        <v>33</v>
      </c>
      <c r="B48" s="84" t="s">
        <v>649</v>
      </c>
      <c r="C48" s="84" t="s">
        <v>12</v>
      </c>
      <c r="D48" s="84" t="s">
        <v>1567</v>
      </c>
      <c r="E48" s="68">
        <v>50</v>
      </c>
      <c r="F48" s="84" t="s">
        <v>559</v>
      </c>
      <c r="G48" s="85">
        <v>1</v>
      </c>
      <c r="H48" s="86" t="s">
        <v>981</v>
      </c>
      <c r="I48" s="86" t="s">
        <v>559</v>
      </c>
      <c r="J48" s="86" t="s">
        <v>937</v>
      </c>
      <c r="K48" s="166">
        <v>0</v>
      </c>
      <c r="L48" s="167">
        <v>0</v>
      </c>
      <c r="M48" s="2">
        <v>1</v>
      </c>
      <c r="N48" s="2">
        <f t="shared" si="0"/>
        <v>5</v>
      </c>
    </row>
    <row r="49" spans="1:14">
      <c r="A49" s="83">
        <v>33</v>
      </c>
      <c r="B49" s="84" t="s">
        <v>649</v>
      </c>
      <c r="C49" s="84" t="s">
        <v>12</v>
      </c>
      <c r="D49" s="84" t="s">
        <v>1567</v>
      </c>
      <c r="E49" s="68">
        <v>90</v>
      </c>
      <c r="F49" s="84" t="s">
        <v>937</v>
      </c>
      <c r="G49" s="85">
        <v>2</v>
      </c>
      <c r="H49" s="86" t="s">
        <v>981</v>
      </c>
      <c r="I49" s="86" t="s">
        <v>559</v>
      </c>
      <c r="J49" s="86" t="s">
        <v>937</v>
      </c>
      <c r="K49" s="166">
        <v>0</v>
      </c>
      <c r="L49" s="167">
        <v>0</v>
      </c>
      <c r="M49" s="2">
        <v>1</v>
      </c>
      <c r="N49" s="2">
        <f t="shared" si="0"/>
        <v>5</v>
      </c>
    </row>
    <row r="50" spans="1:14">
      <c r="A50" s="83">
        <v>33</v>
      </c>
      <c r="B50" s="84" t="s">
        <v>649</v>
      </c>
      <c r="C50" s="84" t="s">
        <v>12</v>
      </c>
      <c r="D50" s="84" t="s">
        <v>1567</v>
      </c>
      <c r="E50" s="68">
        <v>33</v>
      </c>
      <c r="F50" s="84" t="s">
        <v>1580</v>
      </c>
      <c r="G50" s="85">
        <v>3</v>
      </c>
      <c r="H50" s="86" t="s">
        <v>981</v>
      </c>
      <c r="I50" s="86" t="s">
        <v>559</v>
      </c>
      <c r="J50" s="86" t="s">
        <v>937</v>
      </c>
      <c r="K50" s="166">
        <v>0</v>
      </c>
      <c r="L50" s="167">
        <v>0</v>
      </c>
      <c r="M50" s="2">
        <v>1</v>
      </c>
      <c r="N50" s="2">
        <f t="shared" si="0"/>
        <v>5</v>
      </c>
    </row>
    <row r="51" spans="1:14">
      <c r="A51" s="83">
        <v>33</v>
      </c>
      <c r="B51" s="84" t="s">
        <v>649</v>
      </c>
      <c r="C51" s="84" t="s">
        <v>12</v>
      </c>
      <c r="D51" s="84" t="s">
        <v>1567</v>
      </c>
      <c r="E51" s="68">
        <v>51</v>
      </c>
      <c r="F51" s="84" t="s">
        <v>560</v>
      </c>
      <c r="G51" s="85">
        <v>4</v>
      </c>
      <c r="H51" s="86" t="s">
        <v>981</v>
      </c>
      <c r="I51" s="86" t="s">
        <v>559</v>
      </c>
      <c r="J51" s="86" t="s">
        <v>937</v>
      </c>
      <c r="K51" s="166">
        <v>0</v>
      </c>
      <c r="L51" s="167">
        <v>0</v>
      </c>
      <c r="M51" s="2">
        <v>1</v>
      </c>
      <c r="N51" s="2">
        <f t="shared" si="0"/>
        <v>5</v>
      </c>
    </row>
    <row r="52" spans="1:14">
      <c r="A52" s="83">
        <v>33</v>
      </c>
      <c r="B52" s="84" t="s">
        <v>649</v>
      </c>
      <c r="C52" s="84" t="s">
        <v>12</v>
      </c>
      <c r="D52" s="84" t="s">
        <v>1567</v>
      </c>
      <c r="E52" s="68">
        <v>43</v>
      </c>
      <c r="F52" s="84" t="s">
        <v>1582</v>
      </c>
      <c r="G52" s="85">
        <v>5</v>
      </c>
      <c r="H52" s="86" t="s">
        <v>981</v>
      </c>
      <c r="I52" s="86" t="s">
        <v>559</v>
      </c>
      <c r="J52" s="86" t="s">
        <v>937</v>
      </c>
      <c r="K52" s="166">
        <v>0</v>
      </c>
      <c r="L52" s="167">
        <v>0</v>
      </c>
      <c r="M52" s="2">
        <v>1</v>
      </c>
      <c r="N52" s="2">
        <f t="shared" si="0"/>
        <v>5</v>
      </c>
    </row>
    <row r="53" spans="1:14">
      <c r="A53" s="89">
        <v>35</v>
      </c>
      <c r="B53" s="90" t="s">
        <v>100</v>
      </c>
      <c r="C53" s="90" t="s">
        <v>254</v>
      </c>
      <c r="D53" s="90" t="s">
        <v>1567</v>
      </c>
      <c r="E53" s="68">
        <v>4</v>
      </c>
      <c r="F53" s="90" t="s">
        <v>1575</v>
      </c>
      <c r="G53" s="91">
        <v>1</v>
      </c>
      <c r="H53" s="92" t="s">
        <v>587</v>
      </c>
      <c r="I53" s="92"/>
      <c r="J53" s="92"/>
      <c r="K53" s="168">
        <v>0</v>
      </c>
      <c r="L53" s="169" t="s">
        <v>1056</v>
      </c>
      <c r="M53" s="2">
        <v>2</v>
      </c>
      <c r="N53" s="2">
        <f t="shared" si="0"/>
        <v>5</v>
      </c>
    </row>
    <row r="54" spans="1:14">
      <c r="A54" s="16">
        <v>35</v>
      </c>
      <c r="B54" s="17" t="s">
        <v>100</v>
      </c>
      <c r="C54" s="17" t="s">
        <v>254</v>
      </c>
      <c r="D54" s="17" t="s">
        <v>1567</v>
      </c>
      <c r="E54" s="68">
        <v>55</v>
      </c>
      <c r="F54" s="17" t="s">
        <v>1585</v>
      </c>
      <c r="G54" s="65">
        <v>2</v>
      </c>
      <c r="H54" s="66" t="s">
        <v>587</v>
      </c>
      <c r="I54" s="66"/>
      <c r="J54" s="66"/>
      <c r="K54" s="157">
        <v>0</v>
      </c>
      <c r="L54" s="170" t="s">
        <v>1056</v>
      </c>
      <c r="M54" s="2">
        <v>2</v>
      </c>
      <c r="N54" s="2">
        <f t="shared" si="0"/>
        <v>5</v>
      </c>
    </row>
    <row r="55" spans="1:14">
      <c r="A55" s="16">
        <v>35</v>
      </c>
      <c r="B55" s="17" t="s">
        <v>100</v>
      </c>
      <c r="C55" s="17" t="s">
        <v>254</v>
      </c>
      <c r="D55" s="17" t="s">
        <v>1567</v>
      </c>
      <c r="E55" s="68">
        <v>80</v>
      </c>
      <c r="F55" s="17" t="s">
        <v>1594</v>
      </c>
      <c r="G55" s="65">
        <v>3</v>
      </c>
      <c r="H55" s="66" t="s">
        <v>587</v>
      </c>
      <c r="I55" s="66"/>
      <c r="J55" s="66"/>
      <c r="K55" s="157">
        <v>0</v>
      </c>
      <c r="L55" s="170" t="s">
        <v>1056</v>
      </c>
      <c r="M55" s="2">
        <v>2</v>
      </c>
      <c r="N55" s="2">
        <f t="shared" si="0"/>
        <v>5</v>
      </c>
    </row>
    <row r="56" spans="1:14">
      <c r="A56" s="16">
        <v>35</v>
      </c>
      <c r="B56" s="17" t="s">
        <v>100</v>
      </c>
      <c r="C56" s="17" t="s">
        <v>254</v>
      </c>
      <c r="D56" s="17" t="s">
        <v>1567</v>
      </c>
      <c r="E56" s="68">
        <v>26</v>
      </c>
      <c r="F56" s="17" t="s">
        <v>1573</v>
      </c>
      <c r="G56" s="65">
        <v>4</v>
      </c>
      <c r="H56" s="66" t="s">
        <v>587</v>
      </c>
      <c r="I56" s="66"/>
      <c r="J56" s="66"/>
      <c r="K56" s="157">
        <v>0</v>
      </c>
      <c r="L56" s="170" t="s">
        <v>1056</v>
      </c>
      <c r="M56" s="2">
        <v>2</v>
      </c>
      <c r="N56" s="2">
        <f t="shared" si="0"/>
        <v>5</v>
      </c>
    </row>
    <row r="57" spans="1:14">
      <c r="A57" s="16">
        <v>35</v>
      </c>
      <c r="B57" s="17" t="s">
        <v>100</v>
      </c>
      <c r="C57" s="17" t="s">
        <v>254</v>
      </c>
      <c r="D57" s="17" t="s">
        <v>1567</v>
      </c>
      <c r="E57" s="68">
        <v>31</v>
      </c>
      <c r="F57" s="17" t="s">
        <v>1590</v>
      </c>
      <c r="G57" s="65">
        <v>5</v>
      </c>
      <c r="H57" s="66" t="s">
        <v>587</v>
      </c>
      <c r="I57" s="66"/>
      <c r="J57" s="66"/>
      <c r="K57" s="157">
        <v>0</v>
      </c>
      <c r="L57" s="170" t="s">
        <v>1056</v>
      </c>
      <c r="M57" s="2">
        <v>2</v>
      </c>
      <c r="N57" s="2">
        <f t="shared" si="0"/>
        <v>5</v>
      </c>
    </row>
    <row r="58" spans="1:14">
      <c r="A58" s="83">
        <v>36</v>
      </c>
      <c r="B58" s="84" t="s">
        <v>255</v>
      </c>
      <c r="C58" s="84" t="s">
        <v>166</v>
      </c>
      <c r="D58" s="84" t="s">
        <v>1567</v>
      </c>
      <c r="E58" s="68">
        <v>53</v>
      </c>
      <c r="F58" s="84" t="s">
        <v>562</v>
      </c>
      <c r="G58" s="85">
        <v>1</v>
      </c>
      <c r="H58" s="86" t="s">
        <v>593</v>
      </c>
      <c r="I58" s="86"/>
      <c r="J58" s="86"/>
      <c r="K58" s="166" t="s">
        <v>1156</v>
      </c>
      <c r="L58" s="167">
        <v>0</v>
      </c>
      <c r="M58" s="2">
        <v>1</v>
      </c>
      <c r="N58" s="2">
        <f t="shared" si="0"/>
        <v>5</v>
      </c>
    </row>
    <row r="59" spans="1:14">
      <c r="A59" s="83">
        <v>36</v>
      </c>
      <c r="B59" s="84" t="s">
        <v>255</v>
      </c>
      <c r="C59" s="84" t="s">
        <v>166</v>
      </c>
      <c r="D59" s="84" t="s">
        <v>1567</v>
      </c>
      <c r="E59" s="68">
        <v>49</v>
      </c>
      <c r="F59" s="84" t="s">
        <v>1591</v>
      </c>
      <c r="G59" s="85">
        <v>2</v>
      </c>
      <c r="H59" s="86" t="s">
        <v>593</v>
      </c>
      <c r="I59" s="86"/>
      <c r="J59" s="86"/>
      <c r="K59" s="166" t="s">
        <v>1156</v>
      </c>
      <c r="L59" s="167">
        <v>0</v>
      </c>
      <c r="M59" s="2">
        <v>1</v>
      </c>
      <c r="N59" s="2">
        <f t="shared" si="0"/>
        <v>5</v>
      </c>
    </row>
    <row r="60" spans="1:14">
      <c r="A60" s="83">
        <v>36</v>
      </c>
      <c r="B60" s="84" t="s">
        <v>255</v>
      </c>
      <c r="C60" s="84" t="s">
        <v>166</v>
      </c>
      <c r="D60" s="84" t="s">
        <v>1567</v>
      </c>
      <c r="E60" s="68">
        <v>11</v>
      </c>
      <c r="F60" s="84" t="s">
        <v>1595</v>
      </c>
      <c r="G60" s="85">
        <v>3</v>
      </c>
      <c r="H60" s="86" t="s">
        <v>593</v>
      </c>
      <c r="I60" s="86"/>
      <c r="J60" s="86"/>
      <c r="K60" s="166" t="s">
        <v>1156</v>
      </c>
      <c r="L60" s="167">
        <v>0</v>
      </c>
      <c r="M60" s="2">
        <v>1</v>
      </c>
      <c r="N60" s="2">
        <f t="shared" si="0"/>
        <v>5</v>
      </c>
    </row>
    <row r="61" spans="1:14">
      <c r="A61" s="83">
        <v>36</v>
      </c>
      <c r="B61" s="84" t="s">
        <v>255</v>
      </c>
      <c r="C61" s="84" t="s">
        <v>166</v>
      </c>
      <c r="D61" s="84" t="s">
        <v>1567</v>
      </c>
      <c r="E61" s="68">
        <v>52</v>
      </c>
      <c r="F61" s="84" t="s">
        <v>561</v>
      </c>
      <c r="G61" s="85">
        <v>4</v>
      </c>
      <c r="H61" s="86" t="s">
        <v>593</v>
      </c>
      <c r="I61" s="86"/>
      <c r="J61" s="86"/>
      <c r="K61" s="166" t="s">
        <v>1156</v>
      </c>
      <c r="L61" s="167">
        <v>0</v>
      </c>
      <c r="M61" s="2">
        <v>1</v>
      </c>
      <c r="N61" s="2">
        <f t="shared" si="0"/>
        <v>5</v>
      </c>
    </row>
    <row r="62" spans="1:14">
      <c r="A62" s="83">
        <v>36</v>
      </c>
      <c r="B62" s="84" t="s">
        <v>255</v>
      </c>
      <c r="C62" s="84" t="s">
        <v>166</v>
      </c>
      <c r="D62" s="84" t="s">
        <v>1567</v>
      </c>
      <c r="E62" s="68">
        <v>51</v>
      </c>
      <c r="F62" s="84" t="s">
        <v>560</v>
      </c>
      <c r="G62" s="85">
        <v>5</v>
      </c>
      <c r="H62" s="86" t="s">
        <v>593</v>
      </c>
      <c r="I62" s="86"/>
      <c r="J62" s="86"/>
      <c r="K62" s="166" t="s">
        <v>1156</v>
      </c>
      <c r="L62" s="167">
        <v>0</v>
      </c>
      <c r="M62" s="2">
        <v>1</v>
      </c>
      <c r="N62" s="2">
        <f t="shared" si="0"/>
        <v>5</v>
      </c>
    </row>
    <row r="63" spans="1:14">
      <c r="A63" s="89">
        <v>38</v>
      </c>
      <c r="B63" s="90" t="s">
        <v>651</v>
      </c>
      <c r="C63" s="90" t="s">
        <v>367</v>
      </c>
      <c r="D63" s="90" t="s">
        <v>1623</v>
      </c>
      <c r="E63" s="68">
        <v>28</v>
      </c>
      <c r="F63" s="90" t="s">
        <v>570</v>
      </c>
      <c r="G63" s="91">
        <v>1</v>
      </c>
      <c r="H63" s="92" t="s">
        <v>587</v>
      </c>
      <c r="I63" s="92"/>
      <c r="J63" s="92" t="s">
        <v>567</v>
      </c>
      <c r="K63" s="168">
        <v>0</v>
      </c>
      <c r="L63" s="169">
        <v>0</v>
      </c>
      <c r="M63" s="2">
        <v>2</v>
      </c>
      <c r="N63" s="2">
        <f t="shared" si="0"/>
        <v>5</v>
      </c>
    </row>
    <row r="64" spans="1:14">
      <c r="A64" s="16">
        <v>38</v>
      </c>
      <c r="B64" s="17" t="s">
        <v>651</v>
      </c>
      <c r="C64" s="17" t="s">
        <v>367</v>
      </c>
      <c r="D64" s="17" t="s">
        <v>1623</v>
      </c>
      <c r="E64" s="68">
        <v>10</v>
      </c>
      <c r="F64" s="17" t="s">
        <v>1596</v>
      </c>
      <c r="G64" s="65">
        <v>2</v>
      </c>
      <c r="H64" s="66" t="s">
        <v>587</v>
      </c>
      <c r="I64" s="66"/>
      <c r="J64" s="66" t="s">
        <v>567</v>
      </c>
      <c r="K64" s="157">
        <v>0</v>
      </c>
      <c r="L64" s="170">
        <v>0</v>
      </c>
      <c r="M64" s="2">
        <v>2</v>
      </c>
      <c r="N64" s="2">
        <f t="shared" si="0"/>
        <v>5</v>
      </c>
    </row>
    <row r="65" spans="1:14">
      <c r="A65" s="16">
        <v>38</v>
      </c>
      <c r="B65" s="17" t="s">
        <v>651</v>
      </c>
      <c r="C65" s="17" t="s">
        <v>367</v>
      </c>
      <c r="D65" s="17" t="s">
        <v>1623</v>
      </c>
      <c r="E65" s="68">
        <v>44</v>
      </c>
      <c r="F65" s="17" t="s">
        <v>567</v>
      </c>
      <c r="G65" s="65">
        <v>3</v>
      </c>
      <c r="H65" s="66" t="s">
        <v>587</v>
      </c>
      <c r="I65" s="66"/>
      <c r="J65" s="66" t="s">
        <v>567</v>
      </c>
      <c r="K65" s="157">
        <v>0</v>
      </c>
      <c r="L65" s="170">
        <v>0</v>
      </c>
      <c r="M65" s="2">
        <v>2</v>
      </c>
      <c r="N65" s="2">
        <f t="shared" si="0"/>
        <v>5</v>
      </c>
    </row>
    <row r="66" spans="1:14">
      <c r="A66" s="16">
        <v>38</v>
      </c>
      <c r="B66" s="17" t="s">
        <v>651</v>
      </c>
      <c r="C66" s="17" t="s">
        <v>367</v>
      </c>
      <c r="D66" s="17" t="s">
        <v>1623</v>
      </c>
      <c r="E66" s="68">
        <v>46</v>
      </c>
      <c r="F66" s="17" t="s">
        <v>1597</v>
      </c>
      <c r="G66" s="65">
        <v>4</v>
      </c>
      <c r="H66" s="66" t="s">
        <v>587</v>
      </c>
      <c r="I66" s="66"/>
      <c r="J66" s="66" t="s">
        <v>567</v>
      </c>
      <c r="K66" s="157">
        <v>0</v>
      </c>
      <c r="L66" s="170">
        <v>0</v>
      </c>
      <c r="M66" s="2">
        <v>2</v>
      </c>
      <c r="N66" s="2">
        <f t="shared" si="0"/>
        <v>5</v>
      </c>
    </row>
    <row r="67" spans="1:14">
      <c r="A67" s="16">
        <v>38</v>
      </c>
      <c r="B67" s="17" t="s">
        <v>651</v>
      </c>
      <c r="C67" s="17" t="s">
        <v>367</v>
      </c>
      <c r="D67" s="17" t="s">
        <v>1623</v>
      </c>
      <c r="E67" s="68">
        <v>60</v>
      </c>
      <c r="F67" s="17" t="s">
        <v>555</v>
      </c>
      <c r="G67" s="65">
        <v>5</v>
      </c>
      <c r="H67" s="66" t="s">
        <v>587</v>
      </c>
      <c r="I67" s="66"/>
      <c r="J67" s="66" t="s">
        <v>567</v>
      </c>
      <c r="K67" s="157">
        <v>0</v>
      </c>
      <c r="L67" s="170">
        <v>0</v>
      </c>
      <c r="M67" s="2">
        <v>2</v>
      </c>
      <c r="N67" s="2">
        <f t="shared" ref="N67:N130" si="1">COUNTIF(A:A,A67)</f>
        <v>5</v>
      </c>
    </row>
    <row r="68" spans="1:14">
      <c r="A68" s="83">
        <v>39</v>
      </c>
      <c r="B68" s="84" t="s">
        <v>654</v>
      </c>
      <c r="C68" s="84" t="s">
        <v>653</v>
      </c>
      <c r="D68" s="84" t="s">
        <v>1564</v>
      </c>
      <c r="E68" s="68">
        <v>26</v>
      </c>
      <c r="F68" s="84" t="s">
        <v>1573</v>
      </c>
      <c r="G68" s="85">
        <v>1</v>
      </c>
      <c r="H68" s="86" t="s">
        <v>1031</v>
      </c>
      <c r="I68" s="86" t="s">
        <v>551</v>
      </c>
      <c r="J68" s="86" t="s">
        <v>1057</v>
      </c>
      <c r="K68" s="166">
        <v>0</v>
      </c>
      <c r="L68" s="167">
        <v>0</v>
      </c>
      <c r="M68" s="2">
        <v>1</v>
      </c>
      <c r="N68" s="2">
        <f t="shared" si="1"/>
        <v>5</v>
      </c>
    </row>
    <row r="69" spans="1:14">
      <c r="A69" s="83">
        <v>39</v>
      </c>
      <c r="B69" s="84" t="s">
        <v>654</v>
      </c>
      <c r="C69" s="84" t="s">
        <v>653</v>
      </c>
      <c r="D69" s="84" t="s">
        <v>1564</v>
      </c>
      <c r="E69" s="68">
        <v>84</v>
      </c>
      <c r="F69" s="84" t="s">
        <v>1574</v>
      </c>
      <c r="G69" s="85">
        <v>2</v>
      </c>
      <c r="H69" s="86" t="s">
        <v>1031</v>
      </c>
      <c r="I69" s="86" t="s">
        <v>551</v>
      </c>
      <c r="J69" s="86" t="s">
        <v>1057</v>
      </c>
      <c r="K69" s="166">
        <v>0</v>
      </c>
      <c r="L69" s="167">
        <v>0</v>
      </c>
      <c r="M69" s="2">
        <v>1</v>
      </c>
      <c r="N69" s="2">
        <f t="shared" si="1"/>
        <v>5</v>
      </c>
    </row>
    <row r="70" spans="1:14">
      <c r="A70" s="83">
        <v>39</v>
      </c>
      <c r="B70" s="84" t="s">
        <v>654</v>
      </c>
      <c r="C70" s="84" t="s">
        <v>653</v>
      </c>
      <c r="D70" s="84" t="s">
        <v>1564</v>
      </c>
      <c r="E70" s="68">
        <v>4</v>
      </c>
      <c r="F70" s="84" t="s">
        <v>1575</v>
      </c>
      <c r="G70" s="85">
        <v>3</v>
      </c>
      <c r="H70" s="86" t="s">
        <v>1031</v>
      </c>
      <c r="I70" s="86" t="s">
        <v>551</v>
      </c>
      <c r="J70" s="86" t="s">
        <v>1057</v>
      </c>
      <c r="K70" s="166">
        <v>0</v>
      </c>
      <c r="L70" s="167">
        <v>0</v>
      </c>
      <c r="M70" s="2">
        <v>1</v>
      </c>
      <c r="N70" s="2">
        <f t="shared" si="1"/>
        <v>5</v>
      </c>
    </row>
    <row r="71" spans="1:14">
      <c r="A71" s="83">
        <v>39</v>
      </c>
      <c r="B71" s="84" t="s">
        <v>654</v>
      </c>
      <c r="C71" s="84" t="s">
        <v>653</v>
      </c>
      <c r="D71" s="84" t="s">
        <v>1564</v>
      </c>
      <c r="E71" s="68">
        <v>55</v>
      </c>
      <c r="F71" s="84" t="s">
        <v>1585</v>
      </c>
      <c r="G71" s="85">
        <v>4</v>
      </c>
      <c r="H71" s="86" t="s">
        <v>1031</v>
      </c>
      <c r="I71" s="86" t="s">
        <v>551</v>
      </c>
      <c r="J71" s="86" t="s">
        <v>1057</v>
      </c>
      <c r="K71" s="166">
        <v>0</v>
      </c>
      <c r="L71" s="167">
        <v>0</v>
      </c>
      <c r="M71" s="2">
        <v>1</v>
      </c>
      <c r="N71" s="2">
        <f t="shared" si="1"/>
        <v>5</v>
      </c>
    </row>
    <row r="72" spans="1:14">
      <c r="A72" s="83">
        <v>39</v>
      </c>
      <c r="B72" s="84" t="s">
        <v>654</v>
      </c>
      <c r="C72" s="84" t="s">
        <v>653</v>
      </c>
      <c r="D72" s="84" t="s">
        <v>1564</v>
      </c>
      <c r="E72" s="68">
        <v>80</v>
      </c>
      <c r="F72" s="84" t="s">
        <v>1594</v>
      </c>
      <c r="G72" s="85">
        <v>5</v>
      </c>
      <c r="H72" s="86" t="s">
        <v>1031</v>
      </c>
      <c r="I72" s="86" t="s">
        <v>551</v>
      </c>
      <c r="J72" s="86" t="s">
        <v>1057</v>
      </c>
      <c r="K72" s="166">
        <v>0</v>
      </c>
      <c r="L72" s="167">
        <v>0</v>
      </c>
      <c r="M72" s="2">
        <v>1</v>
      </c>
      <c r="N72" s="2">
        <f t="shared" si="1"/>
        <v>5</v>
      </c>
    </row>
    <row r="73" spans="1:14">
      <c r="A73" s="89">
        <v>40</v>
      </c>
      <c r="B73" s="90" t="s">
        <v>657</v>
      </c>
      <c r="C73" s="90" t="s">
        <v>656</v>
      </c>
      <c r="D73" s="90" t="s">
        <v>1564</v>
      </c>
      <c r="E73" s="68">
        <v>26</v>
      </c>
      <c r="F73" s="90" t="s">
        <v>1573</v>
      </c>
      <c r="G73" s="91">
        <v>1</v>
      </c>
      <c r="H73" s="92" t="s">
        <v>974</v>
      </c>
      <c r="I73" s="92" t="s">
        <v>1573</v>
      </c>
      <c r="J73" s="92" t="s">
        <v>1058</v>
      </c>
      <c r="K73" s="168">
        <v>0</v>
      </c>
      <c r="L73" s="169">
        <v>0</v>
      </c>
      <c r="M73" s="2">
        <v>2</v>
      </c>
      <c r="N73" s="2">
        <f t="shared" si="1"/>
        <v>1</v>
      </c>
    </row>
    <row r="74" spans="1:14">
      <c r="A74" s="83">
        <v>42</v>
      </c>
      <c r="B74" s="84" t="s">
        <v>61</v>
      </c>
      <c r="C74" s="84" t="s">
        <v>230</v>
      </c>
      <c r="D74" s="84" t="s">
        <v>1564</v>
      </c>
      <c r="E74" s="68">
        <v>81</v>
      </c>
      <c r="F74" s="84" t="s">
        <v>546</v>
      </c>
      <c r="G74" s="85">
        <v>1</v>
      </c>
      <c r="H74" s="86" t="s">
        <v>600</v>
      </c>
      <c r="I74" s="86" t="s">
        <v>1059</v>
      </c>
      <c r="J74" s="86" t="s">
        <v>1060</v>
      </c>
      <c r="K74" s="166">
        <v>0</v>
      </c>
      <c r="L74" s="167" t="s">
        <v>1056</v>
      </c>
      <c r="M74" s="2">
        <v>1</v>
      </c>
      <c r="N74" s="2">
        <f t="shared" si="1"/>
        <v>5</v>
      </c>
    </row>
    <row r="75" spans="1:14">
      <c r="A75" s="83">
        <v>42</v>
      </c>
      <c r="B75" s="84" t="s">
        <v>61</v>
      </c>
      <c r="C75" s="84" t="s">
        <v>230</v>
      </c>
      <c r="D75" s="84" t="s">
        <v>1564</v>
      </c>
      <c r="E75" s="68">
        <v>85</v>
      </c>
      <c r="F75" s="84" t="s">
        <v>1578</v>
      </c>
      <c r="G75" s="85">
        <v>2</v>
      </c>
      <c r="H75" s="86" t="s">
        <v>600</v>
      </c>
      <c r="I75" s="86" t="s">
        <v>1059</v>
      </c>
      <c r="J75" s="86" t="s">
        <v>1060</v>
      </c>
      <c r="K75" s="166">
        <v>0</v>
      </c>
      <c r="L75" s="167" t="s">
        <v>1056</v>
      </c>
      <c r="M75" s="2">
        <v>1</v>
      </c>
      <c r="N75" s="2">
        <f t="shared" si="1"/>
        <v>5</v>
      </c>
    </row>
    <row r="76" spans="1:14">
      <c r="A76" s="83">
        <v>42</v>
      </c>
      <c r="B76" s="84" t="s">
        <v>61</v>
      </c>
      <c r="C76" s="84" t="s">
        <v>230</v>
      </c>
      <c r="D76" s="84" t="s">
        <v>1564</v>
      </c>
      <c r="E76" s="68">
        <v>27</v>
      </c>
      <c r="F76" s="84" t="s">
        <v>569</v>
      </c>
      <c r="G76" s="85">
        <v>3</v>
      </c>
      <c r="H76" s="86" t="s">
        <v>600</v>
      </c>
      <c r="I76" s="86" t="s">
        <v>1059</v>
      </c>
      <c r="J76" s="86" t="s">
        <v>1060</v>
      </c>
      <c r="K76" s="166">
        <v>0</v>
      </c>
      <c r="L76" s="167" t="s">
        <v>1056</v>
      </c>
      <c r="M76" s="2">
        <v>1</v>
      </c>
      <c r="N76" s="2">
        <f t="shared" si="1"/>
        <v>5</v>
      </c>
    </row>
    <row r="77" spans="1:14">
      <c r="A77" s="83">
        <v>42</v>
      </c>
      <c r="B77" s="84" t="s">
        <v>61</v>
      </c>
      <c r="C77" s="84" t="s">
        <v>230</v>
      </c>
      <c r="D77" s="84" t="s">
        <v>1564</v>
      </c>
      <c r="E77" s="68">
        <v>28</v>
      </c>
      <c r="F77" s="84" t="s">
        <v>570</v>
      </c>
      <c r="G77" s="85">
        <v>4</v>
      </c>
      <c r="H77" s="86" t="s">
        <v>600</v>
      </c>
      <c r="I77" s="86" t="s">
        <v>1059</v>
      </c>
      <c r="J77" s="86" t="s">
        <v>1060</v>
      </c>
      <c r="K77" s="166">
        <v>0</v>
      </c>
      <c r="L77" s="167" t="s">
        <v>1056</v>
      </c>
      <c r="M77" s="2">
        <v>1</v>
      </c>
      <c r="N77" s="2">
        <f t="shared" si="1"/>
        <v>5</v>
      </c>
    </row>
    <row r="78" spans="1:14">
      <c r="A78" s="83">
        <v>42</v>
      </c>
      <c r="B78" s="84" t="s">
        <v>61</v>
      </c>
      <c r="C78" s="84" t="s">
        <v>230</v>
      </c>
      <c r="D78" s="84" t="s">
        <v>1564</v>
      </c>
      <c r="E78" s="68">
        <v>10</v>
      </c>
      <c r="F78" s="84" t="s">
        <v>1596</v>
      </c>
      <c r="G78" s="85">
        <v>5</v>
      </c>
      <c r="H78" s="86" t="s">
        <v>600</v>
      </c>
      <c r="I78" s="86" t="s">
        <v>1059</v>
      </c>
      <c r="J78" s="86" t="s">
        <v>1060</v>
      </c>
      <c r="K78" s="166">
        <v>0</v>
      </c>
      <c r="L78" s="167" t="s">
        <v>1056</v>
      </c>
      <c r="M78" s="2">
        <v>1</v>
      </c>
      <c r="N78" s="2">
        <f t="shared" si="1"/>
        <v>5</v>
      </c>
    </row>
    <row r="79" spans="1:14">
      <c r="A79" s="89">
        <v>44</v>
      </c>
      <c r="B79" s="90" t="s">
        <v>100</v>
      </c>
      <c r="C79" s="90" t="s">
        <v>662</v>
      </c>
      <c r="D79" s="90" t="s">
        <v>1624</v>
      </c>
      <c r="E79" s="68">
        <v>96</v>
      </c>
      <c r="F79" s="90" t="s">
        <v>938</v>
      </c>
      <c r="G79" s="91">
        <v>1</v>
      </c>
      <c r="H79" s="92" t="s">
        <v>982</v>
      </c>
      <c r="I79" s="92" t="s">
        <v>1579</v>
      </c>
      <c r="J79" s="92" t="s">
        <v>1579</v>
      </c>
      <c r="K79" s="168">
        <v>0</v>
      </c>
      <c r="L79" s="169">
        <v>0</v>
      </c>
      <c r="M79" s="2">
        <v>2</v>
      </c>
      <c r="N79" s="2">
        <f t="shared" si="1"/>
        <v>1</v>
      </c>
    </row>
    <row r="80" spans="1:14">
      <c r="A80" s="83">
        <v>45</v>
      </c>
      <c r="B80" s="84" t="s">
        <v>664</v>
      </c>
      <c r="C80" s="84" t="s">
        <v>12</v>
      </c>
      <c r="D80" s="84" t="s">
        <v>1624</v>
      </c>
      <c r="E80" s="68">
        <v>34</v>
      </c>
      <c r="F80" s="84" t="s">
        <v>1581</v>
      </c>
      <c r="G80" s="85">
        <v>1</v>
      </c>
      <c r="H80" s="86" t="s">
        <v>587</v>
      </c>
      <c r="I80" s="86" t="s">
        <v>1599</v>
      </c>
      <c r="J80" s="86" t="s">
        <v>1685</v>
      </c>
      <c r="K80" s="166">
        <v>0</v>
      </c>
      <c r="L80" s="167">
        <v>0</v>
      </c>
      <c r="M80" s="2">
        <v>1</v>
      </c>
      <c r="N80" s="2">
        <f t="shared" si="1"/>
        <v>5</v>
      </c>
    </row>
    <row r="81" spans="1:14">
      <c r="A81" s="83">
        <v>45</v>
      </c>
      <c r="B81" s="84" t="s">
        <v>664</v>
      </c>
      <c r="C81" s="84" t="s">
        <v>12</v>
      </c>
      <c r="D81" s="84" t="s">
        <v>1624</v>
      </c>
      <c r="E81" s="68">
        <v>36</v>
      </c>
      <c r="F81" s="84" t="s">
        <v>557</v>
      </c>
      <c r="G81" s="85">
        <v>2</v>
      </c>
      <c r="H81" s="86" t="s">
        <v>587</v>
      </c>
      <c r="I81" s="86" t="s">
        <v>1599</v>
      </c>
      <c r="J81" s="86" t="s">
        <v>1685</v>
      </c>
      <c r="K81" s="166">
        <v>0</v>
      </c>
      <c r="L81" s="167">
        <v>0</v>
      </c>
      <c r="M81" s="2">
        <v>1</v>
      </c>
      <c r="N81" s="2">
        <f t="shared" si="1"/>
        <v>5</v>
      </c>
    </row>
    <row r="82" spans="1:14">
      <c r="A82" s="83">
        <v>45</v>
      </c>
      <c r="B82" s="84" t="s">
        <v>664</v>
      </c>
      <c r="C82" s="84" t="s">
        <v>12</v>
      </c>
      <c r="D82" s="84" t="s">
        <v>1624</v>
      </c>
      <c r="E82" s="68">
        <v>41</v>
      </c>
      <c r="F82" s="84" t="s">
        <v>1598</v>
      </c>
      <c r="G82" s="85">
        <v>3</v>
      </c>
      <c r="H82" s="86" t="s">
        <v>587</v>
      </c>
      <c r="I82" s="86" t="s">
        <v>1599</v>
      </c>
      <c r="J82" s="86" t="s">
        <v>1685</v>
      </c>
      <c r="K82" s="166">
        <v>0</v>
      </c>
      <c r="L82" s="167">
        <v>0</v>
      </c>
      <c r="M82" s="2">
        <v>1</v>
      </c>
      <c r="N82" s="2">
        <f t="shared" si="1"/>
        <v>5</v>
      </c>
    </row>
    <row r="83" spans="1:14">
      <c r="A83" s="83">
        <v>45</v>
      </c>
      <c r="B83" s="84" t="s">
        <v>664</v>
      </c>
      <c r="C83" s="84" t="s">
        <v>12</v>
      </c>
      <c r="D83" s="84" t="s">
        <v>1624</v>
      </c>
      <c r="E83" s="68">
        <v>73</v>
      </c>
      <c r="F83" s="84" t="s">
        <v>551</v>
      </c>
      <c r="G83" s="85">
        <v>4</v>
      </c>
      <c r="H83" s="86" t="s">
        <v>587</v>
      </c>
      <c r="I83" s="86" t="s">
        <v>1599</v>
      </c>
      <c r="J83" s="86" t="s">
        <v>1685</v>
      </c>
      <c r="K83" s="166">
        <v>0</v>
      </c>
      <c r="L83" s="167">
        <v>0</v>
      </c>
      <c r="M83" s="2">
        <v>1</v>
      </c>
      <c r="N83" s="2">
        <f t="shared" si="1"/>
        <v>5</v>
      </c>
    </row>
    <row r="84" spans="1:14">
      <c r="A84" s="83">
        <v>45</v>
      </c>
      <c r="B84" s="84" t="s">
        <v>664</v>
      </c>
      <c r="C84" s="84" t="s">
        <v>12</v>
      </c>
      <c r="D84" s="84" t="s">
        <v>1624</v>
      </c>
      <c r="E84" s="68">
        <v>42</v>
      </c>
      <c r="F84" s="84" t="s">
        <v>1599</v>
      </c>
      <c r="G84" s="85">
        <v>5</v>
      </c>
      <c r="H84" s="86" t="s">
        <v>587</v>
      </c>
      <c r="I84" s="86" t="s">
        <v>1599</v>
      </c>
      <c r="J84" s="86" t="s">
        <v>1685</v>
      </c>
      <c r="K84" s="166">
        <v>0</v>
      </c>
      <c r="L84" s="167">
        <v>0</v>
      </c>
      <c r="M84" s="2">
        <v>1</v>
      </c>
      <c r="N84" s="2">
        <f t="shared" si="1"/>
        <v>5</v>
      </c>
    </row>
    <row r="85" spans="1:14">
      <c r="A85" s="89">
        <v>46</v>
      </c>
      <c r="B85" s="90" t="s">
        <v>667</v>
      </c>
      <c r="C85" s="90" t="s">
        <v>666</v>
      </c>
      <c r="D85" s="90" t="s">
        <v>1624</v>
      </c>
      <c r="E85" s="68">
        <v>2</v>
      </c>
      <c r="F85" s="90" t="s">
        <v>529</v>
      </c>
      <c r="G85" s="91">
        <v>1</v>
      </c>
      <c r="H85" s="92" t="s">
        <v>596</v>
      </c>
      <c r="I85" s="92" t="s">
        <v>1600</v>
      </c>
      <c r="J85" s="92" t="s">
        <v>1062</v>
      </c>
      <c r="K85" s="168">
        <v>0</v>
      </c>
      <c r="L85" s="169" t="s">
        <v>1056</v>
      </c>
      <c r="M85" s="2">
        <v>2</v>
      </c>
      <c r="N85" s="2">
        <f t="shared" si="1"/>
        <v>6</v>
      </c>
    </row>
    <row r="86" spans="1:14">
      <c r="A86" s="16">
        <v>46</v>
      </c>
      <c r="B86" s="17" t="s">
        <v>667</v>
      </c>
      <c r="C86" s="17" t="s">
        <v>666</v>
      </c>
      <c r="D86" s="17" t="s">
        <v>1624</v>
      </c>
      <c r="E86" s="68">
        <v>69</v>
      </c>
      <c r="F86" s="17" t="s">
        <v>1600</v>
      </c>
      <c r="G86" s="65">
        <v>2</v>
      </c>
      <c r="H86" s="66" t="s">
        <v>596</v>
      </c>
      <c r="I86" s="66" t="s">
        <v>1600</v>
      </c>
      <c r="J86" s="66" t="s">
        <v>1062</v>
      </c>
      <c r="K86" s="157">
        <v>0</v>
      </c>
      <c r="L86" s="170" t="s">
        <v>1056</v>
      </c>
      <c r="M86" s="2">
        <v>2</v>
      </c>
      <c r="N86" s="2">
        <f t="shared" si="1"/>
        <v>6</v>
      </c>
    </row>
    <row r="87" spans="1:14">
      <c r="A87" s="16">
        <v>46</v>
      </c>
      <c r="B87" s="17" t="s">
        <v>667</v>
      </c>
      <c r="C87" s="17" t="s">
        <v>666</v>
      </c>
      <c r="D87" s="17" t="s">
        <v>1624</v>
      </c>
      <c r="E87" s="68">
        <v>11</v>
      </c>
      <c r="F87" s="17" t="s">
        <v>1595</v>
      </c>
      <c r="G87" s="65">
        <v>3</v>
      </c>
      <c r="H87" s="66" t="s">
        <v>596</v>
      </c>
      <c r="I87" s="66" t="s">
        <v>1600</v>
      </c>
      <c r="J87" s="66" t="s">
        <v>1062</v>
      </c>
      <c r="K87" s="157">
        <v>0</v>
      </c>
      <c r="L87" s="170" t="s">
        <v>1056</v>
      </c>
      <c r="M87" s="2">
        <v>2</v>
      </c>
      <c r="N87" s="2">
        <f t="shared" si="1"/>
        <v>6</v>
      </c>
    </row>
    <row r="88" spans="1:14">
      <c r="A88" s="16">
        <v>46</v>
      </c>
      <c r="B88" s="17" t="s">
        <v>667</v>
      </c>
      <c r="C88" s="17" t="s">
        <v>666</v>
      </c>
      <c r="D88" s="17" t="s">
        <v>1624</v>
      </c>
      <c r="E88" s="68">
        <v>10</v>
      </c>
      <c r="F88" s="17" t="s">
        <v>1596</v>
      </c>
      <c r="G88" s="65">
        <v>4</v>
      </c>
      <c r="H88" s="66" t="s">
        <v>596</v>
      </c>
      <c r="I88" s="66" t="s">
        <v>1600</v>
      </c>
      <c r="J88" s="66" t="s">
        <v>1062</v>
      </c>
      <c r="K88" s="157">
        <v>0</v>
      </c>
      <c r="L88" s="170" t="s">
        <v>1056</v>
      </c>
      <c r="M88" s="2">
        <v>2</v>
      </c>
      <c r="N88" s="2">
        <f t="shared" si="1"/>
        <v>6</v>
      </c>
    </row>
    <row r="89" spans="1:14">
      <c r="A89" s="16">
        <v>46</v>
      </c>
      <c r="B89" s="17" t="s">
        <v>667</v>
      </c>
      <c r="C89" s="17" t="s">
        <v>666</v>
      </c>
      <c r="D89" s="17" t="s">
        <v>1624</v>
      </c>
      <c r="E89" s="68">
        <v>88</v>
      </c>
      <c r="F89" s="17" t="s">
        <v>953</v>
      </c>
      <c r="G89" s="65">
        <v>5</v>
      </c>
      <c r="H89" s="66" t="s">
        <v>596</v>
      </c>
      <c r="I89" s="66" t="s">
        <v>1600</v>
      </c>
      <c r="J89" s="66" t="s">
        <v>1062</v>
      </c>
      <c r="K89" s="157">
        <v>0</v>
      </c>
      <c r="L89" s="170" t="s">
        <v>1056</v>
      </c>
      <c r="M89" s="2">
        <v>2</v>
      </c>
      <c r="N89" s="2">
        <f t="shared" si="1"/>
        <v>6</v>
      </c>
    </row>
    <row r="90" spans="1:14">
      <c r="A90" s="16">
        <v>46</v>
      </c>
      <c r="B90" s="17" t="s">
        <v>667</v>
      </c>
      <c r="C90" s="17" t="s">
        <v>666</v>
      </c>
      <c r="D90" s="17" t="s">
        <v>1624</v>
      </c>
      <c r="E90" s="68">
        <v>48</v>
      </c>
      <c r="F90" s="17" t="s">
        <v>1601</v>
      </c>
      <c r="G90" s="65">
        <v>6</v>
      </c>
      <c r="H90" s="66" t="s">
        <v>596</v>
      </c>
      <c r="I90" s="66" t="s">
        <v>1600</v>
      </c>
      <c r="J90" s="66" t="s">
        <v>1062</v>
      </c>
      <c r="K90" s="157">
        <v>0</v>
      </c>
      <c r="L90" s="170" t="s">
        <v>1056</v>
      </c>
      <c r="M90" s="2">
        <v>2</v>
      </c>
      <c r="N90" s="2">
        <f t="shared" si="1"/>
        <v>6</v>
      </c>
    </row>
    <row r="91" spans="1:14">
      <c r="A91" s="83">
        <v>47</v>
      </c>
      <c r="B91" s="84" t="s">
        <v>670</v>
      </c>
      <c r="C91" s="84" t="s">
        <v>669</v>
      </c>
      <c r="D91" s="84" t="s">
        <v>1624</v>
      </c>
      <c r="E91" s="68">
        <v>18</v>
      </c>
      <c r="F91" s="84" t="s">
        <v>1588</v>
      </c>
      <c r="G91" s="85">
        <v>1</v>
      </c>
      <c r="H91" s="86" t="s">
        <v>587</v>
      </c>
      <c r="I91" s="86" t="s">
        <v>572</v>
      </c>
      <c r="J91" s="86"/>
      <c r="K91" s="166">
        <v>0</v>
      </c>
      <c r="L91" s="167">
        <v>0</v>
      </c>
      <c r="M91" s="2">
        <v>1</v>
      </c>
      <c r="N91" s="2">
        <f t="shared" si="1"/>
        <v>5</v>
      </c>
    </row>
    <row r="92" spans="1:14">
      <c r="A92" s="83">
        <v>47</v>
      </c>
      <c r="B92" s="84" t="s">
        <v>670</v>
      </c>
      <c r="C92" s="84" t="s">
        <v>669</v>
      </c>
      <c r="D92" s="84" t="s">
        <v>1624</v>
      </c>
      <c r="E92" s="68">
        <v>28</v>
      </c>
      <c r="F92" s="84" t="s">
        <v>570</v>
      </c>
      <c r="G92" s="85">
        <v>2</v>
      </c>
      <c r="H92" s="86" t="s">
        <v>587</v>
      </c>
      <c r="I92" s="86" t="s">
        <v>572</v>
      </c>
      <c r="J92" s="86"/>
      <c r="K92" s="166">
        <v>0</v>
      </c>
      <c r="L92" s="167">
        <v>0</v>
      </c>
      <c r="M92" s="2">
        <v>1</v>
      </c>
      <c r="N92" s="2">
        <f t="shared" si="1"/>
        <v>5</v>
      </c>
    </row>
    <row r="93" spans="1:14">
      <c r="A93" s="83">
        <v>47</v>
      </c>
      <c r="B93" s="84" t="s">
        <v>670</v>
      </c>
      <c r="C93" s="84" t="s">
        <v>669</v>
      </c>
      <c r="D93" s="84" t="s">
        <v>1624</v>
      </c>
      <c r="E93" s="68">
        <v>47</v>
      </c>
      <c r="F93" s="84" t="s">
        <v>1602</v>
      </c>
      <c r="G93" s="85">
        <v>3</v>
      </c>
      <c r="H93" s="86" t="s">
        <v>587</v>
      </c>
      <c r="I93" s="86" t="s">
        <v>572</v>
      </c>
      <c r="J93" s="86"/>
      <c r="K93" s="166">
        <v>0</v>
      </c>
      <c r="L93" s="167">
        <v>0</v>
      </c>
      <c r="M93" s="2">
        <v>1</v>
      </c>
      <c r="N93" s="2">
        <f t="shared" si="1"/>
        <v>5</v>
      </c>
    </row>
    <row r="94" spans="1:14">
      <c r="A94" s="83">
        <v>47</v>
      </c>
      <c r="B94" s="84" t="s">
        <v>670</v>
      </c>
      <c r="C94" s="84" t="s">
        <v>669</v>
      </c>
      <c r="D94" s="84" t="s">
        <v>1624</v>
      </c>
      <c r="E94" s="68">
        <v>31</v>
      </c>
      <c r="F94" s="84" t="s">
        <v>1590</v>
      </c>
      <c r="G94" s="85">
        <v>4</v>
      </c>
      <c r="H94" s="86" t="s">
        <v>587</v>
      </c>
      <c r="I94" s="86" t="s">
        <v>572</v>
      </c>
      <c r="J94" s="86"/>
      <c r="K94" s="166">
        <v>0</v>
      </c>
      <c r="L94" s="167">
        <v>0</v>
      </c>
      <c r="M94" s="2">
        <v>1</v>
      </c>
      <c r="N94" s="2">
        <f t="shared" si="1"/>
        <v>5</v>
      </c>
    </row>
    <row r="95" spans="1:14">
      <c r="A95" s="83">
        <v>47</v>
      </c>
      <c r="B95" s="84" t="s">
        <v>670</v>
      </c>
      <c r="C95" s="84" t="s">
        <v>669</v>
      </c>
      <c r="D95" s="84" t="s">
        <v>1624</v>
      </c>
      <c r="E95" s="68">
        <v>54</v>
      </c>
      <c r="F95" s="84" t="s">
        <v>1603</v>
      </c>
      <c r="G95" s="85">
        <v>5</v>
      </c>
      <c r="H95" s="86" t="s">
        <v>587</v>
      </c>
      <c r="I95" s="86" t="s">
        <v>572</v>
      </c>
      <c r="J95" s="86"/>
      <c r="K95" s="166">
        <v>0</v>
      </c>
      <c r="L95" s="167">
        <v>0</v>
      </c>
      <c r="M95" s="2">
        <v>1</v>
      </c>
      <c r="N95" s="2">
        <f t="shared" si="1"/>
        <v>5</v>
      </c>
    </row>
    <row r="96" spans="1:14">
      <c r="A96" s="89">
        <v>49</v>
      </c>
      <c r="B96" s="90" t="s">
        <v>672</v>
      </c>
      <c r="C96" s="90" t="s">
        <v>184</v>
      </c>
      <c r="D96" s="90" t="s">
        <v>1625</v>
      </c>
      <c r="E96" s="68">
        <v>26</v>
      </c>
      <c r="F96" s="90" t="s">
        <v>1573</v>
      </c>
      <c r="G96" s="91">
        <v>1</v>
      </c>
      <c r="H96" s="92" t="s">
        <v>605</v>
      </c>
      <c r="I96" s="92"/>
      <c r="J96" s="92" t="s">
        <v>1063</v>
      </c>
      <c r="K96" s="168">
        <v>0</v>
      </c>
      <c r="L96" s="169">
        <v>0</v>
      </c>
      <c r="M96" s="2">
        <v>2</v>
      </c>
      <c r="N96" s="2">
        <f t="shared" si="1"/>
        <v>5</v>
      </c>
    </row>
    <row r="97" spans="1:14">
      <c r="A97" s="16">
        <v>49</v>
      </c>
      <c r="B97" s="17" t="s">
        <v>672</v>
      </c>
      <c r="C97" s="17" t="s">
        <v>184</v>
      </c>
      <c r="D97" s="17" t="s">
        <v>1625</v>
      </c>
      <c r="E97" s="68">
        <v>43</v>
      </c>
      <c r="F97" s="17" t="s">
        <v>1582</v>
      </c>
      <c r="G97" s="65">
        <v>2</v>
      </c>
      <c r="H97" s="66" t="s">
        <v>605</v>
      </c>
      <c r="I97" s="66"/>
      <c r="J97" s="66" t="s">
        <v>1063</v>
      </c>
      <c r="K97" s="157">
        <v>0</v>
      </c>
      <c r="L97" s="170">
        <v>0</v>
      </c>
      <c r="M97" s="2">
        <v>2</v>
      </c>
      <c r="N97" s="2">
        <f t="shared" si="1"/>
        <v>5</v>
      </c>
    </row>
    <row r="98" spans="1:14">
      <c r="A98" s="16">
        <v>49</v>
      </c>
      <c r="B98" s="17" t="s">
        <v>672</v>
      </c>
      <c r="C98" s="17" t="s">
        <v>184</v>
      </c>
      <c r="D98" s="17" t="s">
        <v>1625</v>
      </c>
      <c r="E98" s="68">
        <v>57</v>
      </c>
      <c r="F98" s="17" t="s">
        <v>1604</v>
      </c>
      <c r="G98" s="65">
        <v>3</v>
      </c>
      <c r="H98" s="66" t="s">
        <v>605</v>
      </c>
      <c r="I98" s="66"/>
      <c r="J98" s="66" t="s">
        <v>1063</v>
      </c>
      <c r="K98" s="157">
        <v>0</v>
      </c>
      <c r="L98" s="170">
        <v>0</v>
      </c>
      <c r="M98" s="2">
        <v>2</v>
      </c>
      <c r="N98" s="2">
        <f t="shared" si="1"/>
        <v>5</v>
      </c>
    </row>
    <row r="99" spans="1:14">
      <c r="A99" s="16">
        <v>49</v>
      </c>
      <c r="B99" s="17" t="s">
        <v>672</v>
      </c>
      <c r="C99" s="17" t="s">
        <v>184</v>
      </c>
      <c r="D99" s="17" t="s">
        <v>1625</v>
      </c>
      <c r="E99" s="68">
        <v>81</v>
      </c>
      <c r="F99" s="17" t="s">
        <v>546</v>
      </c>
      <c r="G99" s="65">
        <v>4</v>
      </c>
      <c r="H99" s="66" t="s">
        <v>605</v>
      </c>
      <c r="I99" s="66"/>
      <c r="J99" s="66" t="s">
        <v>1063</v>
      </c>
      <c r="K99" s="157">
        <v>0</v>
      </c>
      <c r="L99" s="170">
        <v>0</v>
      </c>
      <c r="M99" s="2">
        <v>2</v>
      </c>
      <c r="N99" s="2">
        <f t="shared" si="1"/>
        <v>5</v>
      </c>
    </row>
    <row r="100" spans="1:14">
      <c r="A100" s="16">
        <v>49</v>
      </c>
      <c r="B100" s="17" t="s">
        <v>672</v>
      </c>
      <c r="C100" s="17" t="s">
        <v>184</v>
      </c>
      <c r="D100" s="17" t="s">
        <v>1625</v>
      </c>
      <c r="E100" s="68">
        <v>4</v>
      </c>
      <c r="F100" s="17" t="s">
        <v>1575</v>
      </c>
      <c r="G100" s="65">
        <v>5</v>
      </c>
      <c r="H100" s="66" t="s">
        <v>605</v>
      </c>
      <c r="I100" s="66"/>
      <c r="J100" s="66" t="s">
        <v>1063</v>
      </c>
      <c r="K100" s="157">
        <v>0</v>
      </c>
      <c r="L100" s="170">
        <v>0</v>
      </c>
      <c r="M100" s="2">
        <v>2</v>
      </c>
      <c r="N100" s="2">
        <f t="shared" si="1"/>
        <v>5</v>
      </c>
    </row>
    <row r="101" spans="1:14">
      <c r="A101" s="83">
        <v>50</v>
      </c>
      <c r="B101" s="84" t="s">
        <v>675</v>
      </c>
      <c r="C101" s="84" t="s">
        <v>674</v>
      </c>
      <c r="D101" s="84" t="s">
        <v>1626</v>
      </c>
      <c r="F101" s="84" t="s">
        <v>1605</v>
      </c>
      <c r="G101" s="85"/>
      <c r="H101" s="86" t="s">
        <v>1027</v>
      </c>
      <c r="I101" s="86"/>
      <c r="J101" s="86"/>
      <c r="K101" s="166">
        <v>0</v>
      </c>
      <c r="L101" s="167">
        <v>0</v>
      </c>
      <c r="M101" s="2">
        <v>1</v>
      </c>
      <c r="N101" s="2">
        <f t="shared" si="1"/>
        <v>1</v>
      </c>
    </row>
    <row r="102" spans="1:14" ht="24">
      <c r="A102" s="89">
        <v>51</v>
      </c>
      <c r="B102" s="90" t="s">
        <v>359</v>
      </c>
      <c r="C102" s="90" t="s">
        <v>677</v>
      </c>
      <c r="D102" s="90" t="s">
        <v>1627</v>
      </c>
      <c r="E102" s="68">
        <v>34</v>
      </c>
      <c r="F102" s="90" t="s">
        <v>1581</v>
      </c>
      <c r="G102" s="91">
        <v>1</v>
      </c>
      <c r="H102" s="92" t="s">
        <v>983</v>
      </c>
      <c r="I102" s="92" t="s">
        <v>1606</v>
      </c>
      <c r="J102" s="94" t="s">
        <v>1686</v>
      </c>
      <c r="K102" s="168">
        <v>0</v>
      </c>
      <c r="L102" s="169">
        <v>0</v>
      </c>
      <c r="M102" s="2">
        <v>2</v>
      </c>
      <c r="N102" s="2">
        <f t="shared" si="1"/>
        <v>5</v>
      </c>
    </row>
    <row r="103" spans="1:14" ht="24">
      <c r="A103" s="16">
        <v>51</v>
      </c>
      <c r="B103" s="17" t="s">
        <v>359</v>
      </c>
      <c r="C103" s="17" t="s">
        <v>677</v>
      </c>
      <c r="D103" s="17" t="s">
        <v>1627</v>
      </c>
      <c r="E103" s="68">
        <v>49</v>
      </c>
      <c r="F103" s="17" t="s">
        <v>1591</v>
      </c>
      <c r="G103" s="65">
        <v>2</v>
      </c>
      <c r="H103" s="66" t="s">
        <v>983</v>
      </c>
      <c r="I103" s="66" t="s">
        <v>1606</v>
      </c>
      <c r="J103" s="69" t="s">
        <v>1686</v>
      </c>
      <c r="K103" s="157">
        <v>0</v>
      </c>
      <c r="L103" s="170">
        <v>0</v>
      </c>
      <c r="M103" s="2">
        <v>2</v>
      </c>
      <c r="N103" s="2">
        <f t="shared" si="1"/>
        <v>5</v>
      </c>
    </row>
    <row r="104" spans="1:14" ht="24">
      <c r="A104" s="16">
        <v>51</v>
      </c>
      <c r="B104" s="17" t="s">
        <v>359</v>
      </c>
      <c r="C104" s="17" t="s">
        <v>677</v>
      </c>
      <c r="D104" s="17" t="s">
        <v>1627</v>
      </c>
      <c r="E104" s="68">
        <v>37</v>
      </c>
      <c r="F104" s="17" t="s">
        <v>1606</v>
      </c>
      <c r="G104" s="65">
        <v>3</v>
      </c>
      <c r="H104" s="66" t="s">
        <v>983</v>
      </c>
      <c r="I104" s="66" t="s">
        <v>1606</v>
      </c>
      <c r="J104" s="69" t="s">
        <v>1686</v>
      </c>
      <c r="K104" s="157">
        <v>0</v>
      </c>
      <c r="L104" s="170">
        <v>0</v>
      </c>
      <c r="M104" s="2">
        <v>2</v>
      </c>
      <c r="N104" s="2">
        <f t="shared" si="1"/>
        <v>5</v>
      </c>
    </row>
    <row r="105" spans="1:14" ht="24">
      <c r="A105" s="16">
        <v>51</v>
      </c>
      <c r="B105" s="17" t="s">
        <v>359</v>
      </c>
      <c r="C105" s="17" t="s">
        <v>677</v>
      </c>
      <c r="D105" s="17" t="s">
        <v>1627</v>
      </c>
      <c r="E105" s="68">
        <v>51</v>
      </c>
      <c r="F105" s="17" t="s">
        <v>560</v>
      </c>
      <c r="G105" s="65">
        <v>4</v>
      </c>
      <c r="H105" s="66" t="s">
        <v>983</v>
      </c>
      <c r="I105" s="66" t="s">
        <v>1606</v>
      </c>
      <c r="J105" s="69" t="s">
        <v>1686</v>
      </c>
      <c r="K105" s="157">
        <v>0</v>
      </c>
      <c r="L105" s="170">
        <v>0</v>
      </c>
      <c r="M105" s="2">
        <v>2</v>
      </c>
      <c r="N105" s="2">
        <f t="shared" si="1"/>
        <v>5</v>
      </c>
    </row>
    <row r="106" spans="1:14" ht="24">
      <c r="A106" s="16">
        <v>51</v>
      </c>
      <c r="B106" s="17" t="s">
        <v>359</v>
      </c>
      <c r="C106" s="17" t="s">
        <v>677</v>
      </c>
      <c r="D106" s="17" t="s">
        <v>1627</v>
      </c>
      <c r="E106" s="68">
        <v>41</v>
      </c>
      <c r="F106" s="17" t="s">
        <v>1598</v>
      </c>
      <c r="G106" s="65">
        <v>5</v>
      </c>
      <c r="H106" s="66" t="s">
        <v>983</v>
      </c>
      <c r="I106" s="66" t="s">
        <v>1606</v>
      </c>
      <c r="J106" s="69" t="s">
        <v>1686</v>
      </c>
      <c r="K106" s="157">
        <v>0</v>
      </c>
      <c r="L106" s="170">
        <v>0</v>
      </c>
      <c r="M106" s="2">
        <v>2</v>
      </c>
      <c r="N106" s="2">
        <f t="shared" si="1"/>
        <v>5</v>
      </c>
    </row>
    <row r="107" spans="1:14">
      <c r="A107" s="83">
        <v>55</v>
      </c>
      <c r="B107" s="84" t="s">
        <v>282</v>
      </c>
      <c r="C107" s="84" t="s">
        <v>685</v>
      </c>
      <c r="D107" s="84" t="s">
        <v>1628</v>
      </c>
      <c r="E107" s="68">
        <v>18</v>
      </c>
      <c r="F107" s="84" t="s">
        <v>1588</v>
      </c>
      <c r="G107" s="85">
        <v>1</v>
      </c>
      <c r="H107" s="86" t="s">
        <v>1017</v>
      </c>
      <c r="I107" s="86" t="s">
        <v>950</v>
      </c>
      <c r="J107" s="86" t="s">
        <v>1687</v>
      </c>
      <c r="K107" s="166">
        <v>0</v>
      </c>
      <c r="L107" s="167" t="s">
        <v>1158</v>
      </c>
      <c r="M107" s="2">
        <v>1</v>
      </c>
      <c r="N107" s="2">
        <f t="shared" si="1"/>
        <v>3</v>
      </c>
    </row>
    <row r="108" spans="1:14">
      <c r="A108" s="83">
        <v>55</v>
      </c>
      <c r="B108" s="84" t="s">
        <v>282</v>
      </c>
      <c r="C108" s="84" t="s">
        <v>685</v>
      </c>
      <c r="D108" s="84" t="s">
        <v>1628</v>
      </c>
      <c r="E108" s="68">
        <v>4</v>
      </c>
      <c r="F108" s="84" t="s">
        <v>1575</v>
      </c>
      <c r="G108" s="85">
        <v>2</v>
      </c>
      <c r="H108" s="86" t="s">
        <v>1017</v>
      </c>
      <c r="I108" s="86" t="s">
        <v>950</v>
      </c>
      <c r="J108" s="86" t="s">
        <v>1687</v>
      </c>
      <c r="K108" s="166">
        <v>0</v>
      </c>
      <c r="L108" s="167" t="s">
        <v>1158</v>
      </c>
      <c r="M108" s="2">
        <v>1</v>
      </c>
      <c r="N108" s="2">
        <f t="shared" si="1"/>
        <v>3</v>
      </c>
    </row>
    <row r="109" spans="1:14">
      <c r="A109" s="83">
        <v>55</v>
      </c>
      <c r="B109" s="84" t="s">
        <v>282</v>
      </c>
      <c r="C109" s="84" t="s">
        <v>685</v>
      </c>
      <c r="D109" s="84" t="s">
        <v>1628</v>
      </c>
      <c r="E109" s="68">
        <v>55</v>
      </c>
      <c r="F109" s="84" t="s">
        <v>1585</v>
      </c>
      <c r="G109" s="85">
        <v>3</v>
      </c>
      <c r="H109" s="86" t="s">
        <v>1017</v>
      </c>
      <c r="I109" s="86" t="s">
        <v>950</v>
      </c>
      <c r="J109" s="86" t="s">
        <v>1687</v>
      </c>
      <c r="K109" s="166">
        <v>0</v>
      </c>
      <c r="L109" s="167" t="s">
        <v>1158</v>
      </c>
      <c r="M109" s="2">
        <v>1</v>
      </c>
      <c r="N109" s="2">
        <f t="shared" si="1"/>
        <v>3</v>
      </c>
    </row>
    <row r="110" spans="1:14">
      <c r="A110" s="89">
        <v>56</v>
      </c>
      <c r="B110" s="90" t="s">
        <v>687</v>
      </c>
      <c r="C110" s="90" t="s">
        <v>15</v>
      </c>
      <c r="D110" s="90" t="s">
        <v>1629</v>
      </c>
      <c r="E110" s="68">
        <v>33</v>
      </c>
      <c r="F110" s="90" t="s">
        <v>1580</v>
      </c>
      <c r="G110" s="91">
        <v>1</v>
      </c>
      <c r="H110" s="92" t="s">
        <v>587</v>
      </c>
      <c r="I110" s="92" t="s">
        <v>1067</v>
      </c>
      <c r="J110" s="92"/>
      <c r="K110" s="168">
        <v>0</v>
      </c>
      <c r="L110" s="169">
        <v>0</v>
      </c>
      <c r="M110" s="2">
        <v>2</v>
      </c>
      <c r="N110" s="2">
        <f t="shared" si="1"/>
        <v>5</v>
      </c>
    </row>
    <row r="111" spans="1:14">
      <c r="A111" s="16">
        <v>56</v>
      </c>
      <c r="B111" s="17" t="s">
        <v>687</v>
      </c>
      <c r="C111" s="17" t="s">
        <v>15</v>
      </c>
      <c r="D111" s="17" t="s">
        <v>1629</v>
      </c>
      <c r="E111" s="68">
        <v>27</v>
      </c>
      <c r="F111" s="17" t="s">
        <v>569</v>
      </c>
      <c r="G111" s="65">
        <v>2</v>
      </c>
      <c r="H111" s="66" t="s">
        <v>587</v>
      </c>
      <c r="I111" s="66" t="s">
        <v>1067</v>
      </c>
      <c r="J111" s="66"/>
      <c r="K111" s="157">
        <v>0</v>
      </c>
      <c r="L111" s="170">
        <v>0</v>
      </c>
      <c r="M111" s="2">
        <v>2</v>
      </c>
      <c r="N111" s="2">
        <f t="shared" si="1"/>
        <v>5</v>
      </c>
    </row>
    <row r="112" spans="1:14">
      <c r="A112" s="16">
        <v>56</v>
      </c>
      <c r="B112" s="17" t="s">
        <v>687</v>
      </c>
      <c r="C112" s="17" t="s">
        <v>15</v>
      </c>
      <c r="D112" s="17" t="s">
        <v>1629</v>
      </c>
      <c r="E112" s="68">
        <v>28</v>
      </c>
      <c r="F112" s="17" t="s">
        <v>570</v>
      </c>
      <c r="G112" s="65">
        <v>3</v>
      </c>
      <c r="H112" s="66" t="s">
        <v>587</v>
      </c>
      <c r="I112" s="66" t="s">
        <v>1067</v>
      </c>
      <c r="J112" s="66"/>
      <c r="K112" s="157">
        <v>0</v>
      </c>
      <c r="L112" s="170">
        <v>0</v>
      </c>
      <c r="M112" s="2">
        <v>2</v>
      </c>
      <c r="N112" s="2">
        <f t="shared" si="1"/>
        <v>5</v>
      </c>
    </row>
    <row r="113" spans="1:14">
      <c r="A113" s="16">
        <v>56</v>
      </c>
      <c r="B113" s="17" t="s">
        <v>687</v>
      </c>
      <c r="C113" s="17" t="s">
        <v>15</v>
      </c>
      <c r="D113" s="17" t="s">
        <v>1629</v>
      </c>
      <c r="E113" s="68">
        <v>16</v>
      </c>
      <c r="F113" s="17" t="s">
        <v>544</v>
      </c>
      <c r="G113" s="65">
        <v>4</v>
      </c>
      <c r="H113" s="66" t="s">
        <v>587</v>
      </c>
      <c r="I113" s="66" t="s">
        <v>1067</v>
      </c>
      <c r="J113" s="66"/>
      <c r="K113" s="157">
        <v>0</v>
      </c>
      <c r="L113" s="170">
        <v>0</v>
      </c>
      <c r="M113" s="2">
        <v>2</v>
      </c>
      <c r="N113" s="2">
        <f t="shared" si="1"/>
        <v>5</v>
      </c>
    </row>
    <row r="114" spans="1:14">
      <c r="A114" s="16">
        <v>56</v>
      </c>
      <c r="B114" s="17" t="s">
        <v>687</v>
      </c>
      <c r="C114" s="17" t="s">
        <v>15</v>
      </c>
      <c r="D114" s="17" t="s">
        <v>1629</v>
      </c>
      <c r="E114" s="68">
        <v>97</v>
      </c>
      <c r="F114" s="17" t="s">
        <v>939</v>
      </c>
      <c r="G114" s="65">
        <v>5</v>
      </c>
      <c r="H114" s="66" t="s">
        <v>587</v>
      </c>
      <c r="I114" s="66" t="s">
        <v>1067</v>
      </c>
      <c r="J114" s="66"/>
      <c r="K114" s="157">
        <v>0</v>
      </c>
      <c r="L114" s="170">
        <v>0</v>
      </c>
      <c r="M114" s="2">
        <v>2</v>
      </c>
      <c r="N114" s="2">
        <f t="shared" si="1"/>
        <v>5</v>
      </c>
    </row>
    <row r="115" spans="1:14">
      <c r="A115" s="83">
        <v>57</v>
      </c>
      <c r="B115" s="84" t="s">
        <v>188</v>
      </c>
      <c r="C115" s="84" t="s">
        <v>187</v>
      </c>
      <c r="D115" s="84" t="s">
        <v>1629</v>
      </c>
      <c r="F115" s="84" t="s">
        <v>1605</v>
      </c>
      <c r="G115" s="85"/>
      <c r="H115" s="86" t="s">
        <v>587</v>
      </c>
      <c r="I115" s="86"/>
      <c r="J115" s="86" t="s">
        <v>1068</v>
      </c>
      <c r="K115" s="166">
        <v>0</v>
      </c>
      <c r="L115" s="167">
        <v>0</v>
      </c>
      <c r="M115" s="2">
        <v>1</v>
      </c>
      <c r="N115" s="2">
        <f t="shared" si="1"/>
        <v>1</v>
      </c>
    </row>
    <row r="116" spans="1:14">
      <c r="A116" s="89">
        <v>58</v>
      </c>
      <c r="B116" s="90" t="s">
        <v>64</v>
      </c>
      <c r="C116" s="90" t="s">
        <v>63</v>
      </c>
      <c r="D116" s="90" t="s">
        <v>1630</v>
      </c>
      <c r="E116" s="68">
        <v>31</v>
      </c>
      <c r="F116" s="90" t="s">
        <v>1590</v>
      </c>
      <c r="G116" s="91">
        <v>1</v>
      </c>
      <c r="H116" s="92" t="s">
        <v>597</v>
      </c>
      <c r="I116" s="92"/>
      <c r="J116" s="92"/>
      <c r="K116" s="168" t="s">
        <v>1159</v>
      </c>
      <c r="L116" s="169">
        <v>0</v>
      </c>
      <c r="M116" s="2">
        <v>2</v>
      </c>
      <c r="N116" s="2">
        <f t="shared" si="1"/>
        <v>5</v>
      </c>
    </row>
    <row r="117" spans="1:14">
      <c r="A117" s="16">
        <v>58</v>
      </c>
      <c r="B117" s="17" t="s">
        <v>64</v>
      </c>
      <c r="C117" s="17" t="s">
        <v>63</v>
      </c>
      <c r="D117" s="17" t="s">
        <v>1630</v>
      </c>
      <c r="E117" s="68">
        <v>9</v>
      </c>
      <c r="F117" s="17" t="s">
        <v>537</v>
      </c>
      <c r="G117" s="65">
        <v>2</v>
      </c>
      <c r="H117" s="66" t="s">
        <v>597</v>
      </c>
      <c r="I117" s="66"/>
      <c r="J117" s="66"/>
      <c r="K117" s="157" t="s">
        <v>1159</v>
      </c>
      <c r="L117" s="170">
        <v>0</v>
      </c>
      <c r="M117" s="2">
        <v>2</v>
      </c>
      <c r="N117" s="2">
        <f t="shared" si="1"/>
        <v>5</v>
      </c>
    </row>
    <row r="118" spans="1:14">
      <c r="A118" s="16">
        <v>58</v>
      </c>
      <c r="B118" s="17" t="s">
        <v>64</v>
      </c>
      <c r="C118" s="17" t="s">
        <v>63</v>
      </c>
      <c r="D118" s="17" t="s">
        <v>1630</v>
      </c>
      <c r="E118" s="68">
        <v>11</v>
      </c>
      <c r="F118" s="17" t="s">
        <v>1595</v>
      </c>
      <c r="G118" s="65">
        <v>3</v>
      </c>
      <c r="H118" s="66" t="s">
        <v>597</v>
      </c>
      <c r="I118" s="66"/>
      <c r="J118" s="66"/>
      <c r="K118" s="157" t="s">
        <v>1159</v>
      </c>
      <c r="L118" s="170">
        <v>0</v>
      </c>
      <c r="M118" s="2">
        <v>2</v>
      </c>
      <c r="N118" s="2">
        <f t="shared" si="1"/>
        <v>5</v>
      </c>
    </row>
    <row r="119" spans="1:14">
      <c r="A119" s="16">
        <v>58</v>
      </c>
      <c r="B119" s="17" t="s">
        <v>64</v>
      </c>
      <c r="C119" s="17" t="s">
        <v>63</v>
      </c>
      <c r="D119" s="17" t="s">
        <v>1630</v>
      </c>
      <c r="E119" s="68">
        <v>10</v>
      </c>
      <c r="F119" s="17" t="s">
        <v>1596</v>
      </c>
      <c r="G119" s="65">
        <v>4</v>
      </c>
      <c r="H119" s="66" t="s">
        <v>597</v>
      </c>
      <c r="I119" s="66"/>
      <c r="J119" s="66"/>
      <c r="K119" s="157" t="s">
        <v>1159</v>
      </c>
      <c r="L119" s="170">
        <v>0</v>
      </c>
      <c r="M119" s="2">
        <v>2</v>
      </c>
      <c r="N119" s="2">
        <f t="shared" si="1"/>
        <v>5</v>
      </c>
    </row>
    <row r="120" spans="1:14">
      <c r="A120" s="16">
        <v>58</v>
      </c>
      <c r="B120" s="17" t="s">
        <v>64</v>
      </c>
      <c r="C120" s="17" t="s">
        <v>63</v>
      </c>
      <c r="D120" s="17" t="s">
        <v>1630</v>
      </c>
      <c r="E120" s="68">
        <v>54</v>
      </c>
      <c r="F120" s="17" t="s">
        <v>1603</v>
      </c>
      <c r="G120" s="65">
        <v>5</v>
      </c>
      <c r="H120" s="66" t="s">
        <v>597</v>
      </c>
      <c r="I120" s="66"/>
      <c r="J120" s="66"/>
      <c r="K120" s="157" t="s">
        <v>1159</v>
      </c>
      <c r="L120" s="170">
        <v>0</v>
      </c>
      <c r="M120" s="2">
        <v>2</v>
      </c>
      <c r="N120" s="2">
        <f t="shared" si="1"/>
        <v>5</v>
      </c>
    </row>
    <row r="121" spans="1:14">
      <c r="A121" s="83">
        <v>59</v>
      </c>
      <c r="B121" s="84" t="s">
        <v>356</v>
      </c>
      <c r="C121" s="84" t="s">
        <v>689</v>
      </c>
      <c r="D121" s="84" t="s">
        <v>1630</v>
      </c>
      <c r="E121" s="68">
        <v>27</v>
      </c>
      <c r="F121" s="84" t="s">
        <v>569</v>
      </c>
      <c r="G121" s="85">
        <v>1</v>
      </c>
      <c r="H121" s="86" t="s">
        <v>1032</v>
      </c>
      <c r="I121" s="86" t="s">
        <v>1060</v>
      </c>
      <c r="J121" s="86" t="s">
        <v>570</v>
      </c>
      <c r="K121" s="166">
        <v>0</v>
      </c>
      <c r="L121" s="167">
        <v>0</v>
      </c>
      <c r="M121" s="2">
        <v>1</v>
      </c>
      <c r="N121" s="2">
        <f t="shared" si="1"/>
        <v>4</v>
      </c>
    </row>
    <row r="122" spans="1:14">
      <c r="A122" s="83">
        <v>59</v>
      </c>
      <c r="B122" s="84" t="s">
        <v>356</v>
      </c>
      <c r="C122" s="84" t="s">
        <v>689</v>
      </c>
      <c r="D122" s="84" t="s">
        <v>1630</v>
      </c>
      <c r="E122" s="68">
        <v>47</v>
      </c>
      <c r="F122" s="84" t="s">
        <v>1602</v>
      </c>
      <c r="G122" s="85">
        <v>2</v>
      </c>
      <c r="H122" s="86" t="s">
        <v>1032</v>
      </c>
      <c r="I122" s="86" t="s">
        <v>1060</v>
      </c>
      <c r="J122" s="86" t="s">
        <v>570</v>
      </c>
      <c r="K122" s="166">
        <v>0</v>
      </c>
      <c r="L122" s="167">
        <v>0</v>
      </c>
      <c r="M122" s="2">
        <v>1</v>
      </c>
      <c r="N122" s="2">
        <f t="shared" si="1"/>
        <v>4</v>
      </c>
    </row>
    <row r="123" spans="1:14">
      <c r="A123" s="83">
        <v>59</v>
      </c>
      <c r="B123" s="84" t="s">
        <v>356</v>
      </c>
      <c r="C123" s="84" t="s">
        <v>689</v>
      </c>
      <c r="D123" s="84" t="s">
        <v>1630</v>
      </c>
      <c r="E123" s="68">
        <v>50</v>
      </c>
      <c r="F123" s="84" t="s">
        <v>559</v>
      </c>
      <c r="G123" s="85">
        <v>3</v>
      </c>
      <c r="H123" s="86" t="s">
        <v>1032</v>
      </c>
      <c r="I123" s="86" t="s">
        <v>1060</v>
      </c>
      <c r="J123" s="86" t="s">
        <v>570</v>
      </c>
      <c r="K123" s="166">
        <v>0</v>
      </c>
      <c r="L123" s="167">
        <v>0</v>
      </c>
      <c r="M123" s="2">
        <v>1</v>
      </c>
      <c r="N123" s="2">
        <f t="shared" si="1"/>
        <v>4</v>
      </c>
    </row>
    <row r="124" spans="1:14">
      <c r="A124" s="83">
        <v>59</v>
      </c>
      <c r="B124" s="84" t="s">
        <v>356</v>
      </c>
      <c r="C124" s="84" t="s">
        <v>689</v>
      </c>
      <c r="D124" s="84" t="s">
        <v>1630</v>
      </c>
      <c r="E124" s="68">
        <v>97</v>
      </c>
      <c r="F124" s="84" t="s">
        <v>939</v>
      </c>
      <c r="G124" s="85">
        <v>4</v>
      </c>
      <c r="H124" s="86" t="s">
        <v>1032</v>
      </c>
      <c r="I124" s="86" t="s">
        <v>1060</v>
      </c>
      <c r="J124" s="86" t="s">
        <v>570</v>
      </c>
      <c r="K124" s="166">
        <v>0</v>
      </c>
      <c r="L124" s="167">
        <v>0</v>
      </c>
      <c r="M124" s="2">
        <v>1</v>
      </c>
      <c r="N124" s="2">
        <f t="shared" si="1"/>
        <v>4</v>
      </c>
    </row>
    <row r="125" spans="1:14">
      <c r="A125" s="89">
        <v>61</v>
      </c>
      <c r="B125" s="90" t="s">
        <v>259</v>
      </c>
      <c r="C125" s="90" t="s">
        <v>15</v>
      </c>
      <c r="D125" s="90" t="s">
        <v>1555</v>
      </c>
      <c r="E125" s="68">
        <v>27</v>
      </c>
      <c r="F125" s="90" t="s">
        <v>569</v>
      </c>
      <c r="G125" s="91">
        <v>1</v>
      </c>
      <c r="H125" s="92" t="s">
        <v>601</v>
      </c>
      <c r="I125" s="92" t="s">
        <v>1597</v>
      </c>
      <c r="J125" s="92" t="s">
        <v>1070</v>
      </c>
      <c r="K125" s="168">
        <v>0</v>
      </c>
      <c r="L125" s="169" t="s">
        <v>1158</v>
      </c>
      <c r="M125" s="2">
        <v>2</v>
      </c>
      <c r="N125" s="2">
        <f t="shared" si="1"/>
        <v>5</v>
      </c>
    </row>
    <row r="126" spans="1:14">
      <c r="A126" s="16">
        <v>61</v>
      </c>
      <c r="B126" s="17" t="s">
        <v>259</v>
      </c>
      <c r="C126" s="17" t="s">
        <v>15</v>
      </c>
      <c r="D126" s="17" t="s">
        <v>1555</v>
      </c>
      <c r="E126" s="68">
        <v>38</v>
      </c>
      <c r="F126" s="17" t="s">
        <v>1577</v>
      </c>
      <c r="G126" s="65">
        <v>2</v>
      </c>
      <c r="H126" s="66" t="s">
        <v>601</v>
      </c>
      <c r="I126" s="66" t="s">
        <v>1597</v>
      </c>
      <c r="J126" s="66" t="s">
        <v>1070</v>
      </c>
      <c r="K126" s="157">
        <v>0</v>
      </c>
      <c r="L126" s="170" t="s">
        <v>1158</v>
      </c>
      <c r="M126" s="2">
        <v>2</v>
      </c>
      <c r="N126" s="2">
        <f t="shared" si="1"/>
        <v>5</v>
      </c>
    </row>
    <row r="127" spans="1:14">
      <c r="A127" s="16">
        <v>61</v>
      </c>
      <c r="B127" s="17" t="s">
        <v>259</v>
      </c>
      <c r="C127" s="17" t="s">
        <v>15</v>
      </c>
      <c r="D127" s="17" t="s">
        <v>1555</v>
      </c>
      <c r="E127" s="68">
        <v>46</v>
      </c>
      <c r="F127" s="17" t="s">
        <v>1597</v>
      </c>
      <c r="G127" s="65">
        <v>3</v>
      </c>
      <c r="H127" s="66" t="s">
        <v>601</v>
      </c>
      <c r="I127" s="66" t="s">
        <v>1597</v>
      </c>
      <c r="J127" s="66" t="s">
        <v>1070</v>
      </c>
      <c r="K127" s="157">
        <v>0</v>
      </c>
      <c r="L127" s="170" t="s">
        <v>1158</v>
      </c>
      <c r="M127" s="2">
        <v>2</v>
      </c>
      <c r="N127" s="2">
        <f t="shared" si="1"/>
        <v>5</v>
      </c>
    </row>
    <row r="128" spans="1:14">
      <c r="A128" s="16">
        <v>61</v>
      </c>
      <c r="B128" s="17" t="s">
        <v>259</v>
      </c>
      <c r="C128" s="17" t="s">
        <v>15</v>
      </c>
      <c r="D128" s="17" t="s">
        <v>1555</v>
      </c>
      <c r="E128" s="68">
        <v>28</v>
      </c>
      <c r="F128" s="17" t="s">
        <v>570</v>
      </c>
      <c r="G128" s="65">
        <v>4</v>
      </c>
      <c r="H128" s="66" t="s">
        <v>601</v>
      </c>
      <c r="I128" s="66" t="s">
        <v>1597</v>
      </c>
      <c r="J128" s="66" t="s">
        <v>1070</v>
      </c>
      <c r="K128" s="157">
        <v>0</v>
      </c>
      <c r="L128" s="170" t="s">
        <v>1158</v>
      </c>
      <c r="M128" s="2">
        <v>2</v>
      </c>
      <c r="N128" s="2">
        <f t="shared" si="1"/>
        <v>5</v>
      </c>
    </row>
    <row r="129" spans="1:14">
      <c r="A129" s="16">
        <v>61</v>
      </c>
      <c r="B129" s="17" t="s">
        <v>259</v>
      </c>
      <c r="C129" s="17" t="s">
        <v>15</v>
      </c>
      <c r="D129" s="17" t="s">
        <v>1555</v>
      </c>
      <c r="E129" s="68">
        <v>29</v>
      </c>
      <c r="F129" s="17" t="s">
        <v>571</v>
      </c>
      <c r="G129" s="65">
        <v>5</v>
      </c>
      <c r="H129" s="66" t="s">
        <v>601</v>
      </c>
      <c r="I129" s="66" t="s">
        <v>1597</v>
      </c>
      <c r="J129" s="66" t="s">
        <v>1070</v>
      </c>
      <c r="K129" s="157">
        <v>0</v>
      </c>
      <c r="L129" s="170" t="s">
        <v>1158</v>
      </c>
      <c r="M129" s="2">
        <v>2</v>
      </c>
      <c r="N129" s="2">
        <f t="shared" si="1"/>
        <v>5</v>
      </c>
    </row>
    <row r="130" spans="1:14">
      <c r="A130" s="83">
        <v>63</v>
      </c>
      <c r="B130" s="84" t="s">
        <v>100</v>
      </c>
      <c r="C130" s="84" t="s">
        <v>691</v>
      </c>
      <c r="D130" s="84" t="s">
        <v>1555</v>
      </c>
      <c r="E130" s="68">
        <v>79</v>
      </c>
      <c r="F130" s="84" t="s">
        <v>575</v>
      </c>
      <c r="G130" s="85">
        <v>1</v>
      </c>
      <c r="H130" s="86" t="s">
        <v>598</v>
      </c>
      <c r="I130" s="86" t="s">
        <v>1071</v>
      </c>
      <c r="J130" s="86" t="s">
        <v>1072</v>
      </c>
      <c r="K130" s="166">
        <v>0</v>
      </c>
      <c r="L130" s="167">
        <v>0</v>
      </c>
      <c r="M130" s="2">
        <v>1</v>
      </c>
      <c r="N130" s="2">
        <f t="shared" si="1"/>
        <v>5</v>
      </c>
    </row>
    <row r="131" spans="1:14">
      <c r="A131" s="83">
        <v>63</v>
      </c>
      <c r="B131" s="84" t="s">
        <v>100</v>
      </c>
      <c r="C131" s="84" t="s">
        <v>691</v>
      </c>
      <c r="D131" s="84" t="s">
        <v>1555</v>
      </c>
      <c r="E131" s="68">
        <v>78</v>
      </c>
      <c r="F131" s="84" t="s">
        <v>1589</v>
      </c>
      <c r="G131" s="85">
        <v>2</v>
      </c>
      <c r="H131" s="86" t="s">
        <v>598</v>
      </c>
      <c r="I131" s="86" t="s">
        <v>1071</v>
      </c>
      <c r="J131" s="86" t="s">
        <v>1072</v>
      </c>
      <c r="K131" s="166">
        <v>0</v>
      </c>
      <c r="L131" s="167">
        <v>0</v>
      </c>
      <c r="M131" s="2">
        <v>1</v>
      </c>
      <c r="N131" s="2">
        <f t="shared" ref="N131:N194" si="2">COUNTIF(A:A,A131)</f>
        <v>5</v>
      </c>
    </row>
    <row r="132" spans="1:14">
      <c r="A132" s="83">
        <v>63</v>
      </c>
      <c r="B132" s="84" t="s">
        <v>100</v>
      </c>
      <c r="C132" s="84" t="s">
        <v>691</v>
      </c>
      <c r="D132" s="84" t="s">
        <v>1555</v>
      </c>
      <c r="E132" s="68">
        <v>28</v>
      </c>
      <c r="F132" s="84" t="s">
        <v>570</v>
      </c>
      <c r="G132" s="85">
        <v>3</v>
      </c>
      <c r="H132" s="86" t="s">
        <v>598</v>
      </c>
      <c r="I132" s="86" t="s">
        <v>1071</v>
      </c>
      <c r="J132" s="86" t="s">
        <v>1072</v>
      </c>
      <c r="K132" s="166">
        <v>0</v>
      </c>
      <c r="L132" s="167">
        <v>0</v>
      </c>
      <c r="M132" s="2">
        <v>1</v>
      </c>
      <c r="N132" s="2">
        <f t="shared" si="2"/>
        <v>5</v>
      </c>
    </row>
    <row r="133" spans="1:14">
      <c r="A133" s="83">
        <v>63</v>
      </c>
      <c r="B133" s="84" t="s">
        <v>100</v>
      </c>
      <c r="C133" s="84" t="s">
        <v>691</v>
      </c>
      <c r="D133" s="84" t="s">
        <v>1555</v>
      </c>
      <c r="E133" s="68">
        <v>11</v>
      </c>
      <c r="F133" s="84" t="s">
        <v>1595</v>
      </c>
      <c r="G133" s="85">
        <v>4</v>
      </c>
      <c r="H133" s="86" t="s">
        <v>598</v>
      </c>
      <c r="I133" s="86" t="s">
        <v>1071</v>
      </c>
      <c r="J133" s="86" t="s">
        <v>1072</v>
      </c>
      <c r="K133" s="166">
        <v>0</v>
      </c>
      <c r="L133" s="167">
        <v>0</v>
      </c>
      <c r="M133" s="2">
        <v>1</v>
      </c>
      <c r="N133" s="2">
        <f t="shared" si="2"/>
        <v>5</v>
      </c>
    </row>
    <row r="134" spans="1:14">
      <c r="A134" s="83">
        <v>63</v>
      </c>
      <c r="B134" s="84" t="s">
        <v>100</v>
      </c>
      <c r="C134" s="84" t="s">
        <v>691</v>
      </c>
      <c r="D134" s="84" t="s">
        <v>1555</v>
      </c>
      <c r="E134" s="68">
        <v>10</v>
      </c>
      <c r="F134" s="84" t="s">
        <v>1596</v>
      </c>
      <c r="G134" s="85">
        <v>5</v>
      </c>
      <c r="H134" s="86" t="s">
        <v>598</v>
      </c>
      <c r="I134" s="86" t="s">
        <v>1071</v>
      </c>
      <c r="J134" s="86" t="s">
        <v>1072</v>
      </c>
      <c r="K134" s="166">
        <v>0</v>
      </c>
      <c r="L134" s="167">
        <v>0</v>
      </c>
      <c r="M134" s="2">
        <v>1</v>
      </c>
      <c r="N134" s="2">
        <f t="shared" si="2"/>
        <v>5</v>
      </c>
    </row>
    <row r="135" spans="1:14">
      <c r="A135" s="89">
        <v>64</v>
      </c>
      <c r="B135" s="90" t="s">
        <v>693</v>
      </c>
      <c r="C135" s="90" t="s">
        <v>134</v>
      </c>
      <c r="D135" s="90" t="s">
        <v>1555</v>
      </c>
      <c r="E135" s="68">
        <v>26</v>
      </c>
      <c r="F135" s="90" t="s">
        <v>1573</v>
      </c>
      <c r="G135" s="91">
        <v>1</v>
      </c>
      <c r="H135" s="92" t="s">
        <v>600</v>
      </c>
      <c r="I135" s="92"/>
      <c r="J135" s="92" t="s">
        <v>1573</v>
      </c>
      <c r="K135" s="168">
        <v>0</v>
      </c>
      <c r="L135" s="169">
        <v>0</v>
      </c>
      <c r="M135" s="2">
        <v>2</v>
      </c>
      <c r="N135" s="2">
        <f t="shared" si="2"/>
        <v>2</v>
      </c>
    </row>
    <row r="136" spans="1:14">
      <c r="A136" s="16">
        <v>64</v>
      </c>
      <c r="B136" s="17" t="s">
        <v>693</v>
      </c>
      <c r="C136" s="17" t="s">
        <v>134</v>
      </c>
      <c r="D136" s="17" t="s">
        <v>1555</v>
      </c>
      <c r="E136" s="68">
        <v>27</v>
      </c>
      <c r="F136" s="17" t="s">
        <v>569</v>
      </c>
      <c r="G136" s="65">
        <v>2</v>
      </c>
      <c r="H136" s="66" t="s">
        <v>600</v>
      </c>
      <c r="I136" s="66"/>
      <c r="J136" s="66" t="s">
        <v>1573</v>
      </c>
      <c r="K136" s="157">
        <v>0</v>
      </c>
      <c r="L136" s="170">
        <v>0</v>
      </c>
      <c r="M136" s="2">
        <v>2</v>
      </c>
      <c r="N136" s="2">
        <f t="shared" si="2"/>
        <v>2</v>
      </c>
    </row>
    <row r="137" spans="1:14">
      <c r="A137" s="83">
        <v>66</v>
      </c>
      <c r="B137" s="84" t="s">
        <v>76</v>
      </c>
      <c r="C137" s="84" t="s">
        <v>260</v>
      </c>
      <c r="D137" s="84" t="s">
        <v>1555</v>
      </c>
      <c r="E137" s="68">
        <v>89</v>
      </c>
      <c r="F137" s="84" t="s">
        <v>1583</v>
      </c>
      <c r="G137" s="85">
        <v>1</v>
      </c>
      <c r="H137" s="86" t="s">
        <v>587</v>
      </c>
      <c r="I137" s="86" t="s">
        <v>1581</v>
      </c>
      <c r="J137" s="86" t="s">
        <v>1074</v>
      </c>
      <c r="K137" s="166">
        <v>0</v>
      </c>
      <c r="L137" s="167" t="s">
        <v>1040</v>
      </c>
      <c r="M137" s="2">
        <v>1</v>
      </c>
      <c r="N137" s="2">
        <f t="shared" si="2"/>
        <v>5</v>
      </c>
    </row>
    <row r="138" spans="1:14">
      <c r="A138" s="83">
        <v>66</v>
      </c>
      <c r="B138" s="84" t="s">
        <v>76</v>
      </c>
      <c r="C138" s="84" t="s">
        <v>260</v>
      </c>
      <c r="D138" s="84" t="s">
        <v>1555</v>
      </c>
      <c r="E138" s="68">
        <v>34</v>
      </c>
      <c r="F138" s="84" t="s">
        <v>1581</v>
      </c>
      <c r="G138" s="85">
        <v>2</v>
      </c>
      <c r="H138" s="86" t="s">
        <v>587</v>
      </c>
      <c r="I138" s="86" t="s">
        <v>1581</v>
      </c>
      <c r="J138" s="86" t="s">
        <v>1074</v>
      </c>
      <c r="K138" s="166">
        <v>0</v>
      </c>
      <c r="L138" s="167" t="s">
        <v>1040</v>
      </c>
      <c r="M138" s="2">
        <v>1</v>
      </c>
      <c r="N138" s="2">
        <f t="shared" si="2"/>
        <v>5</v>
      </c>
    </row>
    <row r="139" spans="1:14">
      <c r="A139" s="83">
        <v>66</v>
      </c>
      <c r="B139" s="84" t="s">
        <v>76</v>
      </c>
      <c r="C139" s="84" t="s">
        <v>260</v>
      </c>
      <c r="D139" s="84" t="s">
        <v>1555</v>
      </c>
      <c r="E139" s="68">
        <v>4</v>
      </c>
      <c r="F139" s="84" t="s">
        <v>1575</v>
      </c>
      <c r="G139" s="85">
        <v>3</v>
      </c>
      <c r="H139" s="86" t="s">
        <v>587</v>
      </c>
      <c r="I139" s="86" t="s">
        <v>1581</v>
      </c>
      <c r="J139" s="86" t="s">
        <v>1074</v>
      </c>
      <c r="K139" s="166">
        <v>0</v>
      </c>
      <c r="L139" s="167" t="s">
        <v>1040</v>
      </c>
      <c r="M139" s="2">
        <v>1</v>
      </c>
      <c r="N139" s="2">
        <f t="shared" si="2"/>
        <v>5</v>
      </c>
    </row>
    <row r="140" spans="1:14">
      <c r="A140" s="83">
        <v>66</v>
      </c>
      <c r="B140" s="84" t="s">
        <v>76</v>
      </c>
      <c r="C140" s="84" t="s">
        <v>260</v>
      </c>
      <c r="D140" s="84" t="s">
        <v>1555</v>
      </c>
      <c r="E140" s="68">
        <v>18</v>
      </c>
      <c r="F140" s="84" t="s">
        <v>1588</v>
      </c>
      <c r="G140" s="85">
        <v>4</v>
      </c>
      <c r="H140" s="86" t="s">
        <v>587</v>
      </c>
      <c r="I140" s="86" t="s">
        <v>1581</v>
      </c>
      <c r="J140" s="86" t="s">
        <v>1074</v>
      </c>
      <c r="K140" s="166">
        <v>0</v>
      </c>
      <c r="L140" s="167" t="s">
        <v>1040</v>
      </c>
      <c r="M140" s="2">
        <v>1</v>
      </c>
      <c r="N140" s="2">
        <f t="shared" si="2"/>
        <v>5</v>
      </c>
    </row>
    <row r="141" spans="1:14">
      <c r="A141" s="83">
        <v>66</v>
      </c>
      <c r="B141" s="84" t="s">
        <v>76</v>
      </c>
      <c r="C141" s="84" t="s">
        <v>260</v>
      </c>
      <c r="D141" s="84" t="s">
        <v>1555</v>
      </c>
      <c r="E141" s="68">
        <v>1</v>
      </c>
      <c r="F141" s="84" t="s">
        <v>1607</v>
      </c>
      <c r="G141" s="85">
        <v>5</v>
      </c>
      <c r="H141" s="86" t="s">
        <v>587</v>
      </c>
      <c r="I141" s="86" t="s">
        <v>1581</v>
      </c>
      <c r="J141" s="86" t="s">
        <v>1074</v>
      </c>
      <c r="K141" s="166">
        <v>0</v>
      </c>
      <c r="L141" s="167" t="s">
        <v>1040</v>
      </c>
      <c r="M141" s="2">
        <v>1</v>
      </c>
      <c r="N141" s="2">
        <f t="shared" si="2"/>
        <v>5</v>
      </c>
    </row>
    <row r="142" spans="1:14">
      <c r="A142" s="89">
        <v>67</v>
      </c>
      <c r="B142" s="90" t="s">
        <v>697</v>
      </c>
      <c r="C142" s="90" t="s">
        <v>696</v>
      </c>
      <c r="D142" s="90" t="s">
        <v>1555</v>
      </c>
      <c r="E142" s="68">
        <v>85</v>
      </c>
      <c r="F142" s="90" t="s">
        <v>1578</v>
      </c>
      <c r="G142" s="91">
        <v>1</v>
      </c>
      <c r="H142" s="92" t="s">
        <v>986</v>
      </c>
      <c r="I142" s="92"/>
      <c r="J142" s="92" t="s">
        <v>1594</v>
      </c>
      <c r="K142" s="168">
        <v>0</v>
      </c>
      <c r="L142" s="169">
        <v>0</v>
      </c>
      <c r="M142" s="2">
        <v>2</v>
      </c>
      <c r="N142" s="2">
        <f t="shared" si="2"/>
        <v>5</v>
      </c>
    </row>
    <row r="143" spans="1:14">
      <c r="A143" s="16">
        <v>67</v>
      </c>
      <c r="B143" s="17" t="s">
        <v>697</v>
      </c>
      <c r="C143" s="17" t="s">
        <v>696</v>
      </c>
      <c r="D143" s="17" t="s">
        <v>1555</v>
      </c>
      <c r="E143" s="68">
        <v>97</v>
      </c>
      <c r="F143" s="17" t="s">
        <v>939</v>
      </c>
      <c r="G143" s="65">
        <v>2</v>
      </c>
      <c r="H143" s="66" t="s">
        <v>986</v>
      </c>
      <c r="I143" s="66"/>
      <c r="J143" s="66" t="s">
        <v>1594</v>
      </c>
      <c r="K143" s="157">
        <v>0</v>
      </c>
      <c r="L143" s="170">
        <v>0</v>
      </c>
      <c r="M143" s="2">
        <v>2</v>
      </c>
      <c r="N143" s="2">
        <f t="shared" si="2"/>
        <v>5</v>
      </c>
    </row>
    <row r="144" spans="1:14">
      <c r="A144" s="16">
        <v>67</v>
      </c>
      <c r="B144" s="17" t="s">
        <v>697</v>
      </c>
      <c r="C144" s="17" t="s">
        <v>696</v>
      </c>
      <c r="D144" s="17" t="s">
        <v>1555</v>
      </c>
      <c r="E144" s="68">
        <v>48</v>
      </c>
      <c r="F144" s="17" t="s">
        <v>1601</v>
      </c>
      <c r="G144" s="65">
        <v>3</v>
      </c>
      <c r="H144" s="66" t="s">
        <v>986</v>
      </c>
      <c r="I144" s="66"/>
      <c r="J144" s="66" t="s">
        <v>1594</v>
      </c>
      <c r="K144" s="157">
        <v>0</v>
      </c>
      <c r="L144" s="170">
        <v>0</v>
      </c>
      <c r="M144" s="2">
        <v>2</v>
      </c>
      <c r="N144" s="2">
        <f t="shared" si="2"/>
        <v>5</v>
      </c>
    </row>
    <row r="145" spans="1:14">
      <c r="A145" s="16">
        <v>67</v>
      </c>
      <c r="B145" s="17" t="s">
        <v>697</v>
      </c>
      <c r="C145" s="17" t="s">
        <v>696</v>
      </c>
      <c r="D145" s="17" t="s">
        <v>1555</v>
      </c>
      <c r="E145" s="68">
        <v>28</v>
      </c>
      <c r="F145" s="17" t="s">
        <v>570</v>
      </c>
      <c r="G145" s="65">
        <v>4</v>
      </c>
      <c r="H145" s="66" t="s">
        <v>986</v>
      </c>
      <c r="I145" s="66"/>
      <c r="J145" s="66" t="s">
        <v>1594</v>
      </c>
      <c r="K145" s="157">
        <v>0</v>
      </c>
      <c r="L145" s="170">
        <v>0</v>
      </c>
      <c r="M145" s="2">
        <v>2</v>
      </c>
      <c r="N145" s="2">
        <f t="shared" si="2"/>
        <v>5</v>
      </c>
    </row>
    <row r="146" spans="1:14">
      <c r="A146" s="16">
        <v>67</v>
      </c>
      <c r="B146" s="17" t="s">
        <v>697</v>
      </c>
      <c r="C146" s="17" t="s">
        <v>696</v>
      </c>
      <c r="D146" s="17" t="s">
        <v>1555</v>
      </c>
      <c r="E146" s="68">
        <v>61</v>
      </c>
      <c r="F146" s="17" t="s">
        <v>1608</v>
      </c>
      <c r="G146" s="65">
        <v>5</v>
      </c>
      <c r="H146" s="66" t="s">
        <v>986</v>
      </c>
      <c r="I146" s="66"/>
      <c r="J146" s="66" t="s">
        <v>1594</v>
      </c>
      <c r="K146" s="157">
        <v>0</v>
      </c>
      <c r="L146" s="170">
        <v>0</v>
      </c>
      <c r="M146" s="2">
        <v>2</v>
      </c>
      <c r="N146" s="2">
        <f t="shared" si="2"/>
        <v>5</v>
      </c>
    </row>
    <row r="147" spans="1:14">
      <c r="A147" s="83">
        <v>68</v>
      </c>
      <c r="B147" s="84" t="s">
        <v>700</v>
      </c>
      <c r="C147" s="84" t="s">
        <v>699</v>
      </c>
      <c r="D147" s="84" t="s">
        <v>1555</v>
      </c>
      <c r="E147" s="68">
        <v>33</v>
      </c>
      <c r="F147" s="84" t="s">
        <v>1580</v>
      </c>
      <c r="G147" s="85">
        <v>1</v>
      </c>
      <c r="H147" s="86" t="s">
        <v>1007</v>
      </c>
      <c r="I147" s="86" t="s">
        <v>571</v>
      </c>
      <c r="J147" s="86" t="s">
        <v>1075</v>
      </c>
      <c r="K147" s="166">
        <v>0</v>
      </c>
      <c r="L147" s="167">
        <v>0</v>
      </c>
      <c r="M147" s="2">
        <v>1</v>
      </c>
      <c r="N147" s="2">
        <f t="shared" si="2"/>
        <v>5</v>
      </c>
    </row>
    <row r="148" spans="1:14">
      <c r="A148" s="83">
        <v>68</v>
      </c>
      <c r="B148" s="84" t="s">
        <v>700</v>
      </c>
      <c r="C148" s="84" t="s">
        <v>699</v>
      </c>
      <c r="D148" s="84" t="s">
        <v>1555</v>
      </c>
      <c r="E148" s="68">
        <v>11</v>
      </c>
      <c r="F148" s="84" t="s">
        <v>1595</v>
      </c>
      <c r="G148" s="85">
        <v>2</v>
      </c>
      <c r="H148" s="86" t="s">
        <v>1007</v>
      </c>
      <c r="I148" s="86" t="s">
        <v>571</v>
      </c>
      <c r="J148" s="86" t="s">
        <v>1075</v>
      </c>
      <c r="K148" s="166">
        <v>0</v>
      </c>
      <c r="L148" s="167">
        <v>0</v>
      </c>
      <c r="M148" s="2">
        <v>1</v>
      </c>
      <c r="N148" s="2">
        <f t="shared" si="2"/>
        <v>5</v>
      </c>
    </row>
    <row r="149" spans="1:14">
      <c r="A149" s="83">
        <v>68</v>
      </c>
      <c r="B149" s="84" t="s">
        <v>700</v>
      </c>
      <c r="C149" s="84" t="s">
        <v>699</v>
      </c>
      <c r="D149" s="84" t="s">
        <v>1555</v>
      </c>
      <c r="E149" s="68">
        <v>10</v>
      </c>
      <c r="F149" s="84" t="s">
        <v>1596</v>
      </c>
      <c r="G149" s="85">
        <v>3</v>
      </c>
      <c r="H149" s="86" t="s">
        <v>1007</v>
      </c>
      <c r="I149" s="86" t="s">
        <v>571</v>
      </c>
      <c r="J149" s="86" t="s">
        <v>1075</v>
      </c>
      <c r="K149" s="166">
        <v>0</v>
      </c>
      <c r="L149" s="167">
        <v>0</v>
      </c>
      <c r="M149" s="2">
        <v>1</v>
      </c>
      <c r="N149" s="2">
        <f t="shared" si="2"/>
        <v>5</v>
      </c>
    </row>
    <row r="150" spans="1:14">
      <c r="A150" s="83">
        <v>68</v>
      </c>
      <c r="B150" s="84" t="s">
        <v>700</v>
      </c>
      <c r="C150" s="84" t="s">
        <v>699</v>
      </c>
      <c r="D150" s="84" t="s">
        <v>1555</v>
      </c>
      <c r="E150" s="68">
        <v>61</v>
      </c>
      <c r="F150" s="84" t="s">
        <v>1608</v>
      </c>
      <c r="G150" s="85">
        <v>4</v>
      </c>
      <c r="H150" s="86" t="s">
        <v>1007</v>
      </c>
      <c r="I150" s="86" t="s">
        <v>571</v>
      </c>
      <c r="J150" s="86" t="s">
        <v>1075</v>
      </c>
      <c r="K150" s="166">
        <v>0</v>
      </c>
      <c r="L150" s="167">
        <v>0</v>
      </c>
      <c r="M150" s="2">
        <v>1</v>
      </c>
      <c r="N150" s="2">
        <f t="shared" si="2"/>
        <v>5</v>
      </c>
    </row>
    <row r="151" spans="1:14">
      <c r="A151" s="83">
        <v>68</v>
      </c>
      <c r="B151" s="84" t="s">
        <v>700</v>
      </c>
      <c r="C151" s="84" t="s">
        <v>699</v>
      </c>
      <c r="D151" s="84" t="s">
        <v>1555</v>
      </c>
      <c r="E151" s="68">
        <v>53</v>
      </c>
      <c r="F151" s="84" t="s">
        <v>562</v>
      </c>
      <c r="G151" s="85">
        <v>5</v>
      </c>
      <c r="H151" s="86" t="s">
        <v>1007</v>
      </c>
      <c r="I151" s="86" t="s">
        <v>571</v>
      </c>
      <c r="J151" s="86" t="s">
        <v>1075</v>
      </c>
      <c r="K151" s="166">
        <v>0</v>
      </c>
      <c r="L151" s="167">
        <v>0</v>
      </c>
      <c r="M151" s="2">
        <v>1</v>
      </c>
      <c r="N151" s="2">
        <f t="shared" si="2"/>
        <v>5</v>
      </c>
    </row>
    <row r="152" spans="1:14">
      <c r="A152" s="89">
        <v>69</v>
      </c>
      <c r="B152" s="90" t="s">
        <v>262</v>
      </c>
      <c r="C152" s="90" t="s">
        <v>261</v>
      </c>
      <c r="D152" s="90" t="s">
        <v>1555</v>
      </c>
      <c r="E152" s="68">
        <v>31</v>
      </c>
      <c r="F152" s="90" t="s">
        <v>1590</v>
      </c>
      <c r="G152" s="91">
        <v>1</v>
      </c>
      <c r="H152" s="92" t="s">
        <v>587</v>
      </c>
      <c r="I152" s="92" t="s">
        <v>1671</v>
      </c>
      <c r="J152" s="92"/>
      <c r="K152" s="168">
        <v>0</v>
      </c>
      <c r="L152" s="169">
        <v>0</v>
      </c>
      <c r="M152" s="2">
        <v>2</v>
      </c>
      <c r="N152" s="2">
        <f t="shared" si="2"/>
        <v>5</v>
      </c>
    </row>
    <row r="153" spans="1:14">
      <c r="A153" s="16">
        <v>69</v>
      </c>
      <c r="B153" s="17" t="s">
        <v>262</v>
      </c>
      <c r="C153" s="17" t="s">
        <v>261</v>
      </c>
      <c r="D153" s="17" t="s">
        <v>1555</v>
      </c>
      <c r="E153" s="68">
        <v>2</v>
      </c>
      <c r="F153" s="17" t="s">
        <v>529</v>
      </c>
      <c r="G153" s="65">
        <v>2</v>
      </c>
      <c r="H153" s="66" t="s">
        <v>587</v>
      </c>
      <c r="I153" s="66" t="s">
        <v>1671</v>
      </c>
      <c r="J153" s="66"/>
      <c r="K153" s="157">
        <v>0</v>
      </c>
      <c r="L153" s="170">
        <v>0</v>
      </c>
      <c r="M153" s="2">
        <v>2</v>
      </c>
      <c r="N153" s="2">
        <f t="shared" si="2"/>
        <v>5</v>
      </c>
    </row>
    <row r="154" spans="1:14">
      <c r="A154" s="16">
        <v>69</v>
      </c>
      <c r="B154" s="17" t="s">
        <v>262</v>
      </c>
      <c r="C154" s="17" t="s">
        <v>261</v>
      </c>
      <c r="D154" s="17" t="s">
        <v>1555</v>
      </c>
      <c r="E154" s="68">
        <v>38</v>
      </c>
      <c r="F154" s="17" t="s">
        <v>1577</v>
      </c>
      <c r="G154" s="65">
        <v>3</v>
      </c>
      <c r="H154" s="66" t="s">
        <v>587</v>
      </c>
      <c r="I154" s="66" t="s">
        <v>1671</v>
      </c>
      <c r="J154" s="66"/>
      <c r="K154" s="157">
        <v>0</v>
      </c>
      <c r="L154" s="170">
        <v>0</v>
      </c>
      <c r="M154" s="2">
        <v>2</v>
      </c>
      <c r="N154" s="2">
        <f t="shared" si="2"/>
        <v>5</v>
      </c>
    </row>
    <row r="155" spans="1:14">
      <c r="A155" s="16">
        <v>69</v>
      </c>
      <c r="B155" s="17" t="s">
        <v>262</v>
      </c>
      <c r="C155" s="17" t="s">
        <v>261</v>
      </c>
      <c r="D155" s="17" t="s">
        <v>1555</v>
      </c>
      <c r="E155" s="68">
        <v>9</v>
      </c>
      <c r="F155" s="17" t="s">
        <v>537</v>
      </c>
      <c r="G155" s="65">
        <v>4</v>
      </c>
      <c r="H155" s="66" t="s">
        <v>587</v>
      </c>
      <c r="I155" s="66" t="s">
        <v>1671</v>
      </c>
      <c r="J155" s="66"/>
      <c r="K155" s="157">
        <v>0</v>
      </c>
      <c r="L155" s="170">
        <v>0</v>
      </c>
      <c r="M155" s="2">
        <v>2</v>
      </c>
      <c r="N155" s="2">
        <f t="shared" si="2"/>
        <v>5</v>
      </c>
    </row>
    <row r="156" spans="1:14">
      <c r="A156" s="16">
        <v>69</v>
      </c>
      <c r="B156" s="17" t="s">
        <v>262</v>
      </c>
      <c r="C156" s="17" t="s">
        <v>261</v>
      </c>
      <c r="D156" s="17" t="s">
        <v>1555</v>
      </c>
      <c r="E156" s="68">
        <v>64</v>
      </c>
      <c r="F156" s="17" t="s">
        <v>1592</v>
      </c>
      <c r="G156" s="65">
        <v>5</v>
      </c>
      <c r="H156" s="66" t="s">
        <v>587</v>
      </c>
      <c r="I156" s="66" t="s">
        <v>1671</v>
      </c>
      <c r="J156" s="66"/>
      <c r="K156" s="157">
        <v>0</v>
      </c>
      <c r="L156" s="170">
        <v>0</v>
      </c>
      <c r="M156" s="2">
        <v>2</v>
      </c>
      <c r="N156" s="2">
        <f t="shared" si="2"/>
        <v>5</v>
      </c>
    </row>
    <row r="157" spans="1:14">
      <c r="A157" s="83">
        <v>70</v>
      </c>
      <c r="B157" s="84" t="s">
        <v>703</v>
      </c>
      <c r="C157" s="84" t="s">
        <v>702</v>
      </c>
      <c r="D157" s="84" t="s">
        <v>1555</v>
      </c>
      <c r="E157" s="68">
        <v>10</v>
      </c>
      <c r="F157" s="84" t="s">
        <v>1596</v>
      </c>
      <c r="G157" s="85">
        <v>1</v>
      </c>
      <c r="H157" s="86" t="s">
        <v>587</v>
      </c>
      <c r="I157" s="86"/>
      <c r="J157" s="86" t="s">
        <v>549</v>
      </c>
      <c r="K157" s="166">
        <v>0</v>
      </c>
      <c r="L157" s="167">
        <v>0</v>
      </c>
      <c r="M157" s="2">
        <v>1</v>
      </c>
      <c r="N157" s="2">
        <f t="shared" si="2"/>
        <v>5</v>
      </c>
    </row>
    <row r="158" spans="1:14">
      <c r="A158" s="83">
        <v>70</v>
      </c>
      <c r="B158" s="84" t="s">
        <v>703</v>
      </c>
      <c r="C158" s="84" t="s">
        <v>702</v>
      </c>
      <c r="D158" s="84" t="s">
        <v>1555</v>
      </c>
      <c r="E158" s="68">
        <v>25</v>
      </c>
      <c r="F158" s="84" t="s">
        <v>550</v>
      </c>
      <c r="G158" s="85">
        <v>2</v>
      </c>
      <c r="H158" s="86" t="s">
        <v>587</v>
      </c>
      <c r="I158" s="86"/>
      <c r="J158" s="86" t="s">
        <v>549</v>
      </c>
      <c r="K158" s="166">
        <v>0</v>
      </c>
      <c r="L158" s="167">
        <v>0</v>
      </c>
      <c r="M158" s="2">
        <v>1</v>
      </c>
      <c r="N158" s="2">
        <f t="shared" si="2"/>
        <v>5</v>
      </c>
    </row>
    <row r="159" spans="1:14">
      <c r="A159" s="83">
        <v>70</v>
      </c>
      <c r="B159" s="84" t="s">
        <v>703</v>
      </c>
      <c r="C159" s="84" t="s">
        <v>702</v>
      </c>
      <c r="D159" s="84" t="s">
        <v>1555</v>
      </c>
      <c r="E159" s="68">
        <v>53</v>
      </c>
      <c r="F159" s="84" t="s">
        <v>562</v>
      </c>
      <c r="G159" s="85">
        <v>3</v>
      </c>
      <c r="H159" s="86" t="s">
        <v>587</v>
      </c>
      <c r="I159" s="86"/>
      <c r="J159" s="86" t="s">
        <v>549</v>
      </c>
      <c r="K159" s="166">
        <v>0</v>
      </c>
      <c r="L159" s="167">
        <v>0</v>
      </c>
      <c r="M159" s="2">
        <v>1</v>
      </c>
      <c r="N159" s="2">
        <f t="shared" si="2"/>
        <v>5</v>
      </c>
    </row>
    <row r="160" spans="1:14">
      <c r="A160" s="83">
        <v>70</v>
      </c>
      <c r="B160" s="84" t="s">
        <v>703</v>
      </c>
      <c r="C160" s="84" t="s">
        <v>702</v>
      </c>
      <c r="D160" s="84" t="s">
        <v>1555</v>
      </c>
      <c r="E160" s="68">
        <v>88</v>
      </c>
      <c r="F160" s="84" t="s">
        <v>953</v>
      </c>
      <c r="G160" s="85">
        <v>4</v>
      </c>
      <c r="H160" s="86" t="s">
        <v>587</v>
      </c>
      <c r="I160" s="86"/>
      <c r="J160" s="86" t="s">
        <v>549</v>
      </c>
      <c r="K160" s="166">
        <v>0</v>
      </c>
      <c r="L160" s="167">
        <v>0</v>
      </c>
      <c r="M160" s="2">
        <v>1</v>
      </c>
      <c r="N160" s="2">
        <f t="shared" si="2"/>
        <v>5</v>
      </c>
    </row>
    <row r="161" spans="1:14">
      <c r="A161" s="83">
        <v>70</v>
      </c>
      <c r="B161" s="84" t="s">
        <v>703</v>
      </c>
      <c r="C161" s="84" t="s">
        <v>702</v>
      </c>
      <c r="D161" s="84" t="s">
        <v>1555</v>
      </c>
      <c r="E161" s="68">
        <v>96</v>
      </c>
      <c r="F161" s="84" t="s">
        <v>938</v>
      </c>
      <c r="G161" s="85">
        <v>5</v>
      </c>
      <c r="H161" s="86" t="s">
        <v>587</v>
      </c>
      <c r="I161" s="86"/>
      <c r="J161" s="86" t="s">
        <v>549</v>
      </c>
      <c r="K161" s="166">
        <v>0</v>
      </c>
      <c r="L161" s="167">
        <v>0</v>
      </c>
      <c r="M161" s="2">
        <v>1</v>
      </c>
      <c r="N161" s="2">
        <f t="shared" si="2"/>
        <v>5</v>
      </c>
    </row>
    <row r="162" spans="1:14">
      <c r="A162" s="89">
        <v>71</v>
      </c>
      <c r="B162" s="90" t="s">
        <v>251</v>
      </c>
      <c r="C162" s="90" t="s">
        <v>705</v>
      </c>
      <c r="D162" s="90" t="s">
        <v>1631</v>
      </c>
      <c r="E162" s="68">
        <v>81</v>
      </c>
      <c r="F162" s="90" t="s">
        <v>546</v>
      </c>
      <c r="G162" s="91">
        <v>1</v>
      </c>
      <c r="H162" s="92" t="s">
        <v>1034</v>
      </c>
      <c r="I162" s="92" t="s">
        <v>1590</v>
      </c>
      <c r="J162" s="92"/>
      <c r="K162" s="168">
        <v>0</v>
      </c>
      <c r="L162" s="169">
        <v>0</v>
      </c>
      <c r="M162" s="2">
        <v>2</v>
      </c>
      <c r="N162" s="2">
        <f t="shared" si="2"/>
        <v>5</v>
      </c>
    </row>
    <row r="163" spans="1:14">
      <c r="A163" s="16">
        <v>71</v>
      </c>
      <c r="B163" s="17" t="s">
        <v>251</v>
      </c>
      <c r="C163" s="17" t="s">
        <v>705</v>
      </c>
      <c r="D163" s="17" t="s">
        <v>1631</v>
      </c>
      <c r="E163" s="68">
        <v>4</v>
      </c>
      <c r="F163" s="17" t="s">
        <v>1575</v>
      </c>
      <c r="G163" s="65">
        <v>2</v>
      </c>
      <c r="H163" s="66" t="s">
        <v>1034</v>
      </c>
      <c r="I163" s="66" t="s">
        <v>1590</v>
      </c>
      <c r="J163" s="66"/>
      <c r="K163" s="157">
        <v>0</v>
      </c>
      <c r="L163" s="170">
        <v>0</v>
      </c>
      <c r="M163" s="2">
        <v>2</v>
      </c>
      <c r="N163" s="2">
        <f t="shared" si="2"/>
        <v>5</v>
      </c>
    </row>
    <row r="164" spans="1:14">
      <c r="A164" s="16">
        <v>71</v>
      </c>
      <c r="B164" s="17" t="s">
        <v>251</v>
      </c>
      <c r="C164" s="17" t="s">
        <v>705</v>
      </c>
      <c r="D164" s="17" t="s">
        <v>1631</v>
      </c>
      <c r="E164" s="68">
        <v>26</v>
      </c>
      <c r="F164" s="17" t="s">
        <v>1573</v>
      </c>
      <c r="G164" s="65">
        <v>3</v>
      </c>
      <c r="H164" s="66" t="s">
        <v>1034</v>
      </c>
      <c r="I164" s="66" t="s">
        <v>1590</v>
      </c>
      <c r="J164" s="66"/>
      <c r="K164" s="157">
        <v>0</v>
      </c>
      <c r="L164" s="170">
        <v>0</v>
      </c>
      <c r="M164" s="2">
        <v>2</v>
      </c>
      <c r="N164" s="2">
        <f t="shared" si="2"/>
        <v>5</v>
      </c>
    </row>
    <row r="165" spans="1:14">
      <c r="A165" s="16">
        <v>71</v>
      </c>
      <c r="B165" s="17" t="s">
        <v>251</v>
      </c>
      <c r="C165" s="17" t="s">
        <v>705</v>
      </c>
      <c r="D165" s="17" t="s">
        <v>1631</v>
      </c>
      <c r="E165" s="68">
        <v>82</v>
      </c>
      <c r="F165" s="17" t="s">
        <v>1593</v>
      </c>
      <c r="G165" s="65">
        <v>4</v>
      </c>
      <c r="H165" s="66" t="s">
        <v>1034</v>
      </c>
      <c r="I165" s="66" t="s">
        <v>1590</v>
      </c>
      <c r="J165" s="66"/>
      <c r="K165" s="157">
        <v>0</v>
      </c>
      <c r="L165" s="170">
        <v>0</v>
      </c>
      <c r="M165" s="2">
        <v>2</v>
      </c>
      <c r="N165" s="2">
        <f t="shared" si="2"/>
        <v>5</v>
      </c>
    </row>
    <row r="166" spans="1:14">
      <c r="A166" s="16">
        <v>71</v>
      </c>
      <c r="B166" s="17" t="s">
        <v>251</v>
      </c>
      <c r="C166" s="17" t="s">
        <v>705</v>
      </c>
      <c r="D166" s="17" t="s">
        <v>1631</v>
      </c>
      <c r="E166" s="68">
        <v>55</v>
      </c>
      <c r="F166" s="17" t="s">
        <v>1585</v>
      </c>
      <c r="G166" s="65">
        <v>5</v>
      </c>
      <c r="H166" s="66" t="s">
        <v>1034</v>
      </c>
      <c r="I166" s="66" t="s">
        <v>1590</v>
      </c>
      <c r="J166" s="66"/>
      <c r="K166" s="157">
        <v>0</v>
      </c>
      <c r="L166" s="170">
        <v>0</v>
      </c>
      <c r="M166" s="2">
        <v>2</v>
      </c>
      <c r="N166" s="2">
        <f t="shared" si="2"/>
        <v>5</v>
      </c>
    </row>
    <row r="167" spans="1:14">
      <c r="A167" s="83">
        <v>74</v>
      </c>
      <c r="B167" s="84" t="s">
        <v>191</v>
      </c>
      <c r="C167" s="84" t="s">
        <v>707</v>
      </c>
      <c r="D167" s="84" t="s">
        <v>1632</v>
      </c>
      <c r="E167" s="68">
        <v>28</v>
      </c>
      <c r="F167" s="84" t="s">
        <v>570</v>
      </c>
      <c r="G167" s="85">
        <v>1</v>
      </c>
      <c r="H167" s="86" t="s">
        <v>974</v>
      </c>
      <c r="I167" s="86" t="s">
        <v>1058</v>
      </c>
      <c r="J167" s="86" t="s">
        <v>571</v>
      </c>
      <c r="K167" s="166">
        <v>0</v>
      </c>
      <c r="L167" s="167">
        <v>0</v>
      </c>
      <c r="M167" s="2">
        <v>1</v>
      </c>
      <c r="N167" s="2">
        <f t="shared" si="2"/>
        <v>4</v>
      </c>
    </row>
    <row r="168" spans="1:14">
      <c r="A168" s="83">
        <v>74</v>
      </c>
      <c r="B168" s="84" t="s">
        <v>191</v>
      </c>
      <c r="C168" s="84" t="s">
        <v>707</v>
      </c>
      <c r="D168" s="84" t="s">
        <v>1632</v>
      </c>
      <c r="E168" s="68">
        <v>26</v>
      </c>
      <c r="F168" s="84" t="s">
        <v>1573</v>
      </c>
      <c r="G168" s="85">
        <v>2</v>
      </c>
      <c r="H168" s="86" t="s">
        <v>974</v>
      </c>
      <c r="I168" s="86" t="s">
        <v>1058</v>
      </c>
      <c r="J168" s="86" t="s">
        <v>571</v>
      </c>
      <c r="K168" s="166">
        <v>0</v>
      </c>
      <c r="L168" s="167">
        <v>0</v>
      </c>
      <c r="M168" s="2">
        <v>1</v>
      </c>
      <c r="N168" s="2">
        <f t="shared" si="2"/>
        <v>4</v>
      </c>
    </row>
    <row r="169" spans="1:14">
      <c r="A169" s="83">
        <v>74</v>
      </c>
      <c r="B169" s="84" t="s">
        <v>191</v>
      </c>
      <c r="C169" s="84" t="s">
        <v>707</v>
      </c>
      <c r="D169" s="84" t="s">
        <v>1632</v>
      </c>
      <c r="E169" s="68">
        <v>27</v>
      </c>
      <c r="F169" s="84" t="s">
        <v>569</v>
      </c>
      <c r="G169" s="85">
        <v>3</v>
      </c>
      <c r="H169" s="86" t="s">
        <v>974</v>
      </c>
      <c r="I169" s="86" t="s">
        <v>1058</v>
      </c>
      <c r="J169" s="86" t="s">
        <v>571</v>
      </c>
      <c r="K169" s="166">
        <v>0</v>
      </c>
      <c r="L169" s="167">
        <v>0</v>
      </c>
      <c r="M169" s="2">
        <v>1</v>
      </c>
      <c r="N169" s="2">
        <f t="shared" si="2"/>
        <v>4</v>
      </c>
    </row>
    <row r="170" spans="1:14">
      <c r="A170" s="83">
        <v>74</v>
      </c>
      <c r="B170" s="84" t="s">
        <v>191</v>
      </c>
      <c r="C170" s="84" t="s">
        <v>707</v>
      </c>
      <c r="D170" s="84" t="s">
        <v>1632</v>
      </c>
      <c r="E170" s="68">
        <v>29</v>
      </c>
      <c r="F170" s="84" t="s">
        <v>571</v>
      </c>
      <c r="G170" s="85">
        <v>4</v>
      </c>
      <c r="H170" s="86" t="s">
        <v>974</v>
      </c>
      <c r="I170" s="86" t="s">
        <v>1058</v>
      </c>
      <c r="J170" s="86" t="s">
        <v>571</v>
      </c>
      <c r="K170" s="166">
        <v>0</v>
      </c>
      <c r="L170" s="167">
        <v>0</v>
      </c>
      <c r="M170" s="2">
        <v>1</v>
      </c>
      <c r="N170" s="2">
        <f t="shared" si="2"/>
        <v>4</v>
      </c>
    </row>
    <row r="171" spans="1:14">
      <c r="A171" s="89">
        <v>76</v>
      </c>
      <c r="B171" s="90" t="s">
        <v>210</v>
      </c>
      <c r="C171" s="90" t="s">
        <v>228</v>
      </c>
      <c r="D171" s="90" t="s">
        <v>1633</v>
      </c>
      <c r="E171" s="68">
        <v>92</v>
      </c>
      <c r="F171" s="90" t="s">
        <v>531</v>
      </c>
      <c r="G171" s="91">
        <v>1</v>
      </c>
      <c r="H171" s="92" t="s">
        <v>1005</v>
      </c>
      <c r="I171" s="92" t="s">
        <v>1587</v>
      </c>
      <c r="J171" s="92" t="s">
        <v>531</v>
      </c>
      <c r="K171" s="168">
        <v>0</v>
      </c>
      <c r="L171" s="169">
        <v>0</v>
      </c>
      <c r="M171" s="2">
        <v>2</v>
      </c>
      <c r="N171" s="2">
        <f t="shared" si="2"/>
        <v>3</v>
      </c>
    </row>
    <row r="172" spans="1:14">
      <c r="A172" s="16">
        <v>76</v>
      </c>
      <c r="B172" s="17" t="s">
        <v>210</v>
      </c>
      <c r="C172" s="17" t="s">
        <v>228</v>
      </c>
      <c r="D172" s="17" t="s">
        <v>1633</v>
      </c>
      <c r="E172" s="68">
        <v>55</v>
      </c>
      <c r="F172" s="17" t="s">
        <v>1585</v>
      </c>
      <c r="G172" s="65">
        <v>2</v>
      </c>
      <c r="H172" s="66" t="s">
        <v>1005</v>
      </c>
      <c r="I172" s="66" t="s">
        <v>1587</v>
      </c>
      <c r="J172" s="66" t="s">
        <v>531</v>
      </c>
      <c r="K172" s="157">
        <v>0</v>
      </c>
      <c r="L172" s="170">
        <v>0</v>
      </c>
      <c r="M172" s="2">
        <v>2</v>
      </c>
      <c r="N172" s="2">
        <f t="shared" si="2"/>
        <v>3</v>
      </c>
    </row>
    <row r="173" spans="1:14">
      <c r="A173" s="16">
        <v>76</v>
      </c>
      <c r="B173" s="17" t="s">
        <v>210</v>
      </c>
      <c r="C173" s="17" t="s">
        <v>228</v>
      </c>
      <c r="D173" s="17" t="s">
        <v>1633</v>
      </c>
      <c r="E173" s="68">
        <v>28</v>
      </c>
      <c r="F173" s="17" t="s">
        <v>570</v>
      </c>
      <c r="G173" s="65">
        <v>3</v>
      </c>
      <c r="H173" s="66" t="s">
        <v>1005</v>
      </c>
      <c r="I173" s="66" t="s">
        <v>1587</v>
      </c>
      <c r="J173" s="66" t="s">
        <v>531</v>
      </c>
      <c r="K173" s="157">
        <v>0</v>
      </c>
      <c r="L173" s="170">
        <v>0</v>
      </c>
      <c r="M173" s="2">
        <v>2</v>
      </c>
      <c r="N173" s="2">
        <f t="shared" si="2"/>
        <v>3</v>
      </c>
    </row>
    <row r="174" spans="1:14">
      <c r="A174" s="83">
        <v>78</v>
      </c>
      <c r="B174" s="84" t="s">
        <v>713</v>
      </c>
      <c r="C174" s="84" t="s">
        <v>712</v>
      </c>
      <c r="D174" s="84" t="s">
        <v>1557</v>
      </c>
      <c r="E174" s="68">
        <v>67</v>
      </c>
      <c r="F174" s="84" t="s">
        <v>1584</v>
      </c>
      <c r="G174" s="85">
        <v>1</v>
      </c>
      <c r="H174" s="86" t="s">
        <v>971</v>
      </c>
      <c r="I174" s="86" t="s">
        <v>536</v>
      </c>
      <c r="J174" s="86" t="s">
        <v>1609</v>
      </c>
      <c r="K174" s="166">
        <v>0</v>
      </c>
      <c r="L174" s="167">
        <v>0</v>
      </c>
      <c r="M174" s="2">
        <v>1</v>
      </c>
      <c r="N174" s="2">
        <f t="shared" si="2"/>
        <v>5</v>
      </c>
    </row>
    <row r="175" spans="1:14">
      <c r="A175" s="83">
        <v>78</v>
      </c>
      <c r="B175" s="84" t="s">
        <v>713</v>
      </c>
      <c r="C175" s="84" t="s">
        <v>712</v>
      </c>
      <c r="D175" s="84" t="s">
        <v>1557</v>
      </c>
      <c r="E175" s="68">
        <v>86</v>
      </c>
      <c r="F175" s="84" t="s">
        <v>1609</v>
      </c>
      <c r="G175" s="85">
        <v>2</v>
      </c>
      <c r="H175" s="86" t="s">
        <v>971</v>
      </c>
      <c r="I175" s="86" t="s">
        <v>536</v>
      </c>
      <c r="J175" s="86" t="s">
        <v>1609</v>
      </c>
      <c r="K175" s="166">
        <v>0</v>
      </c>
      <c r="L175" s="167">
        <v>0</v>
      </c>
      <c r="M175" s="2">
        <v>1</v>
      </c>
      <c r="N175" s="2">
        <f t="shared" si="2"/>
        <v>5</v>
      </c>
    </row>
    <row r="176" spans="1:14">
      <c r="A176" s="83">
        <v>78</v>
      </c>
      <c r="B176" s="84" t="s">
        <v>713</v>
      </c>
      <c r="C176" s="84" t="s">
        <v>712</v>
      </c>
      <c r="D176" s="84" t="s">
        <v>1557</v>
      </c>
      <c r="E176" s="68">
        <v>43</v>
      </c>
      <c r="F176" s="84" t="s">
        <v>1582</v>
      </c>
      <c r="G176" s="85">
        <v>3</v>
      </c>
      <c r="H176" s="86" t="s">
        <v>971</v>
      </c>
      <c r="I176" s="86" t="s">
        <v>536</v>
      </c>
      <c r="J176" s="86" t="s">
        <v>1609</v>
      </c>
      <c r="K176" s="166">
        <v>0</v>
      </c>
      <c r="L176" s="167">
        <v>0</v>
      </c>
      <c r="M176" s="2">
        <v>1</v>
      </c>
      <c r="N176" s="2">
        <f t="shared" si="2"/>
        <v>5</v>
      </c>
    </row>
    <row r="177" spans="1:14">
      <c r="A177" s="83">
        <v>78</v>
      </c>
      <c r="B177" s="84" t="s">
        <v>713</v>
      </c>
      <c r="C177" s="84" t="s">
        <v>712</v>
      </c>
      <c r="D177" s="84" t="s">
        <v>1557</v>
      </c>
      <c r="E177" s="68">
        <v>26</v>
      </c>
      <c r="F177" s="84" t="s">
        <v>1573</v>
      </c>
      <c r="G177" s="85">
        <v>4</v>
      </c>
      <c r="H177" s="86" t="s">
        <v>971</v>
      </c>
      <c r="I177" s="86" t="s">
        <v>536</v>
      </c>
      <c r="J177" s="86" t="s">
        <v>1609</v>
      </c>
      <c r="K177" s="166">
        <v>0</v>
      </c>
      <c r="L177" s="167">
        <v>0</v>
      </c>
      <c r="M177" s="2">
        <v>1</v>
      </c>
      <c r="N177" s="2">
        <f t="shared" si="2"/>
        <v>5</v>
      </c>
    </row>
    <row r="178" spans="1:14">
      <c r="A178" s="83">
        <v>78</v>
      </c>
      <c r="B178" s="84" t="s">
        <v>713</v>
      </c>
      <c r="C178" s="84" t="s">
        <v>712</v>
      </c>
      <c r="D178" s="84" t="s">
        <v>1557</v>
      </c>
      <c r="E178" s="68">
        <v>56</v>
      </c>
      <c r="F178" s="84" t="s">
        <v>1610</v>
      </c>
      <c r="G178" s="85">
        <v>5</v>
      </c>
      <c r="H178" s="86" t="s">
        <v>971</v>
      </c>
      <c r="I178" s="86" t="s">
        <v>536</v>
      </c>
      <c r="J178" s="86" t="s">
        <v>1609</v>
      </c>
      <c r="K178" s="166">
        <v>0</v>
      </c>
      <c r="L178" s="167">
        <v>0</v>
      </c>
      <c r="M178" s="2">
        <v>1</v>
      </c>
      <c r="N178" s="2">
        <f t="shared" si="2"/>
        <v>5</v>
      </c>
    </row>
    <row r="179" spans="1:14">
      <c r="A179" s="89">
        <v>81</v>
      </c>
      <c r="B179" s="90" t="s">
        <v>16</v>
      </c>
      <c r="C179" s="90" t="s">
        <v>126</v>
      </c>
      <c r="D179" s="90" t="s">
        <v>1557</v>
      </c>
      <c r="E179" s="68">
        <v>23</v>
      </c>
      <c r="F179" s="90" t="s">
        <v>1586</v>
      </c>
      <c r="G179" s="91">
        <v>1</v>
      </c>
      <c r="H179" s="92" t="s">
        <v>977</v>
      </c>
      <c r="I179" s="92"/>
      <c r="J179" s="92"/>
      <c r="K179" s="168" t="s">
        <v>1156</v>
      </c>
      <c r="L179" s="169">
        <v>0</v>
      </c>
      <c r="M179" s="2">
        <v>2</v>
      </c>
      <c r="N179" s="2">
        <f t="shared" si="2"/>
        <v>2</v>
      </c>
    </row>
    <row r="180" spans="1:14">
      <c r="A180" s="16">
        <v>81</v>
      </c>
      <c r="B180" s="17" t="s">
        <v>16</v>
      </c>
      <c r="C180" s="17" t="s">
        <v>126</v>
      </c>
      <c r="D180" s="17" t="s">
        <v>1557</v>
      </c>
      <c r="E180" s="68">
        <v>24</v>
      </c>
      <c r="F180" s="17" t="s">
        <v>951</v>
      </c>
      <c r="G180" s="65">
        <v>2</v>
      </c>
      <c r="H180" s="66" t="s">
        <v>977</v>
      </c>
      <c r="I180" s="66"/>
      <c r="J180" s="66"/>
      <c r="K180" s="157" t="s">
        <v>1156</v>
      </c>
      <c r="L180" s="170">
        <v>0</v>
      </c>
      <c r="M180" s="2">
        <v>2</v>
      </c>
      <c r="N180" s="2">
        <f t="shared" si="2"/>
        <v>2</v>
      </c>
    </row>
    <row r="181" spans="1:14">
      <c r="A181" s="83">
        <v>84</v>
      </c>
      <c r="B181" s="84" t="s">
        <v>718</v>
      </c>
      <c r="C181" s="84" t="s">
        <v>717</v>
      </c>
      <c r="D181" s="84" t="s">
        <v>1634</v>
      </c>
      <c r="E181" s="68">
        <v>81</v>
      </c>
      <c r="F181" s="84" t="s">
        <v>546</v>
      </c>
      <c r="G181" s="85">
        <v>1</v>
      </c>
      <c r="H181" s="86" t="s">
        <v>976</v>
      </c>
      <c r="I181" s="86"/>
      <c r="J181" s="86" t="s">
        <v>1604</v>
      </c>
      <c r="K181" s="166">
        <v>0</v>
      </c>
      <c r="L181" s="167">
        <v>0</v>
      </c>
      <c r="M181" s="2">
        <v>1</v>
      </c>
      <c r="N181" s="2">
        <f t="shared" si="2"/>
        <v>4</v>
      </c>
    </row>
    <row r="182" spans="1:14">
      <c r="A182" s="83">
        <v>84</v>
      </c>
      <c r="B182" s="84" t="s">
        <v>718</v>
      </c>
      <c r="C182" s="84" t="s">
        <v>717</v>
      </c>
      <c r="D182" s="84" t="s">
        <v>1634</v>
      </c>
      <c r="E182" s="68">
        <v>2</v>
      </c>
      <c r="F182" s="84" t="s">
        <v>529</v>
      </c>
      <c r="G182" s="85">
        <v>2</v>
      </c>
      <c r="H182" s="86" t="s">
        <v>976</v>
      </c>
      <c r="I182" s="86"/>
      <c r="J182" s="86" t="s">
        <v>1604</v>
      </c>
      <c r="K182" s="166">
        <v>0</v>
      </c>
      <c r="L182" s="167">
        <v>0</v>
      </c>
      <c r="M182" s="2">
        <v>1</v>
      </c>
      <c r="N182" s="2">
        <f t="shared" si="2"/>
        <v>4</v>
      </c>
    </row>
    <row r="183" spans="1:14">
      <c r="A183" s="83">
        <v>84</v>
      </c>
      <c r="B183" s="84" t="s">
        <v>718</v>
      </c>
      <c r="C183" s="84" t="s">
        <v>717</v>
      </c>
      <c r="D183" s="84" t="s">
        <v>1634</v>
      </c>
      <c r="E183" s="68">
        <v>31</v>
      </c>
      <c r="F183" s="84" t="s">
        <v>1590</v>
      </c>
      <c r="G183" s="85">
        <v>3</v>
      </c>
      <c r="H183" s="86" t="s">
        <v>976</v>
      </c>
      <c r="I183" s="86"/>
      <c r="J183" s="86" t="s">
        <v>1604</v>
      </c>
      <c r="K183" s="166">
        <v>0</v>
      </c>
      <c r="L183" s="167">
        <v>0</v>
      </c>
      <c r="M183" s="2">
        <v>1</v>
      </c>
      <c r="N183" s="2">
        <f t="shared" si="2"/>
        <v>4</v>
      </c>
    </row>
    <row r="184" spans="1:14">
      <c r="A184" s="83">
        <v>84</v>
      </c>
      <c r="B184" s="84" t="s">
        <v>718</v>
      </c>
      <c r="C184" s="84" t="s">
        <v>717</v>
      </c>
      <c r="D184" s="84" t="s">
        <v>1634</v>
      </c>
      <c r="E184" s="68">
        <v>85</v>
      </c>
      <c r="F184" s="84" t="s">
        <v>1578</v>
      </c>
      <c r="G184" s="85">
        <v>4</v>
      </c>
      <c r="H184" s="86" t="s">
        <v>976</v>
      </c>
      <c r="I184" s="86"/>
      <c r="J184" s="86" t="s">
        <v>1604</v>
      </c>
      <c r="K184" s="166">
        <v>0</v>
      </c>
      <c r="L184" s="167">
        <v>0</v>
      </c>
      <c r="M184" s="2">
        <v>1</v>
      </c>
      <c r="N184" s="2">
        <f t="shared" si="2"/>
        <v>4</v>
      </c>
    </row>
    <row r="185" spans="1:14">
      <c r="A185" s="89">
        <v>85</v>
      </c>
      <c r="B185" s="90" t="s">
        <v>720</v>
      </c>
      <c r="C185" s="90" t="s">
        <v>192</v>
      </c>
      <c r="D185" s="90" t="s">
        <v>1558</v>
      </c>
      <c r="E185" s="68">
        <v>48</v>
      </c>
      <c r="F185" s="90" t="s">
        <v>1601</v>
      </c>
      <c r="G185" s="91">
        <v>1</v>
      </c>
      <c r="H185" s="92" t="s">
        <v>589</v>
      </c>
      <c r="I185" s="92"/>
      <c r="J185" s="92" t="s">
        <v>943</v>
      </c>
      <c r="K185" s="168">
        <v>0</v>
      </c>
      <c r="L185" s="169">
        <v>0</v>
      </c>
      <c r="M185" s="2">
        <v>2</v>
      </c>
      <c r="N185" s="2">
        <f t="shared" si="2"/>
        <v>3</v>
      </c>
    </row>
    <row r="186" spans="1:14">
      <c r="A186" s="16">
        <v>85</v>
      </c>
      <c r="B186" s="17" t="s">
        <v>720</v>
      </c>
      <c r="C186" s="17" t="s">
        <v>192</v>
      </c>
      <c r="D186" s="17" t="s">
        <v>1558</v>
      </c>
      <c r="E186" s="68">
        <v>88</v>
      </c>
      <c r="F186" s="17" t="s">
        <v>953</v>
      </c>
      <c r="G186" s="65">
        <v>2</v>
      </c>
      <c r="H186" s="66" t="s">
        <v>589</v>
      </c>
      <c r="I186" s="66"/>
      <c r="J186" s="66" t="s">
        <v>943</v>
      </c>
      <c r="K186" s="157">
        <v>0</v>
      </c>
      <c r="L186" s="170">
        <v>0</v>
      </c>
      <c r="M186" s="2">
        <v>2</v>
      </c>
      <c r="N186" s="2">
        <f t="shared" si="2"/>
        <v>3</v>
      </c>
    </row>
    <row r="187" spans="1:14">
      <c r="A187" s="16">
        <v>85</v>
      </c>
      <c r="B187" s="17" t="s">
        <v>720</v>
      </c>
      <c r="C187" s="17" t="s">
        <v>192</v>
      </c>
      <c r="D187" s="17" t="s">
        <v>1558</v>
      </c>
      <c r="E187" s="68">
        <v>64</v>
      </c>
      <c r="F187" s="17" t="s">
        <v>1592</v>
      </c>
      <c r="G187" s="65">
        <v>3</v>
      </c>
      <c r="H187" s="66" t="s">
        <v>589</v>
      </c>
      <c r="I187" s="66"/>
      <c r="J187" s="66" t="s">
        <v>943</v>
      </c>
      <c r="K187" s="157">
        <v>0</v>
      </c>
      <c r="L187" s="170">
        <v>0</v>
      </c>
      <c r="M187" s="2">
        <v>2</v>
      </c>
      <c r="N187" s="2">
        <f t="shared" si="2"/>
        <v>3</v>
      </c>
    </row>
    <row r="188" spans="1:14">
      <c r="A188" s="83">
        <v>86</v>
      </c>
      <c r="B188" s="84" t="s">
        <v>45</v>
      </c>
      <c r="C188" s="84" t="s">
        <v>271</v>
      </c>
      <c r="D188" s="84" t="s">
        <v>1558</v>
      </c>
      <c r="E188" s="68">
        <v>33</v>
      </c>
      <c r="F188" s="84" t="s">
        <v>1580</v>
      </c>
      <c r="G188" s="85">
        <v>1</v>
      </c>
      <c r="H188" s="86" t="s">
        <v>1003</v>
      </c>
      <c r="I188" s="86" t="s">
        <v>1672</v>
      </c>
      <c r="J188" s="86" t="s">
        <v>1688</v>
      </c>
      <c r="K188" s="166">
        <v>0</v>
      </c>
      <c r="L188" s="167" t="s">
        <v>1048</v>
      </c>
      <c r="M188" s="2">
        <v>1</v>
      </c>
      <c r="N188" s="2">
        <f t="shared" si="2"/>
        <v>5</v>
      </c>
    </row>
    <row r="189" spans="1:14">
      <c r="A189" s="83">
        <v>86</v>
      </c>
      <c r="B189" s="84" t="s">
        <v>45</v>
      </c>
      <c r="C189" s="84" t="s">
        <v>271</v>
      </c>
      <c r="D189" s="84" t="s">
        <v>1558</v>
      </c>
      <c r="E189" s="68">
        <v>49</v>
      </c>
      <c r="F189" s="84" t="s">
        <v>1591</v>
      </c>
      <c r="G189" s="85">
        <v>2</v>
      </c>
      <c r="H189" s="86" t="s">
        <v>1003</v>
      </c>
      <c r="I189" s="86" t="s">
        <v>1672</v>
      </c>
      <c r="J189" s="86" t="s">
        <v>1688</v>
      </c>
      <c r="K189" s="166">
        <v>0</v>
      </c>
      <c r="L189" s="167" t="s">
        <v>1048</v>
      </c>
      <c r="M189" s="2">
        <v>1</v>
      </c>
      <c r="N189" s="2">
        <f t="shared" si="2"/>
        <v>5</v>
      </c>
    </row>
    <row r="190" spans="1:14">
      <c r="A190" s="83">
        <v>86</v>
      </c>
      <c r="B190" s="84" t="s">
        <v>45</v>
      </c>
      <c r="C190" s="84" t="s">
        <v>271</v>
      </c>
      <c r="D190" s="84" t="s">
        <v>1558</v>
      </c>
      <c r="E190" s="68">
        <v>43</v>
      </c>
      <c r="F190" s="84" t="s">
        <v>1582</v>
      </c>
      <c r="G190" s="85">
        <v>3</v>
      </c>
      <c r="H190" s="86" t="s">
        <v>1003</v>
      </c>
      <c r="I190" s="86" t="s">
        <v>1672</v>
      </c>
      <c r="J190" s="86" t="s">
        <v>1688</v>
      </c>
      <c r="K190" s="166">
        <v>0</v>
      </c>
      <c r="L190" s="167" t="s">
        <v>1048</v>
      </c>
      <c r="M190" s="2">
        <v>1</v>
      </c>
      <c r="N190" s="2">
        <f t="shared" si="2"/>
        <v>5</v>
      </c>
    </row>
    <row r="191" spans="1:14">
      <c r="A191" s="83">
        <v>86</v>
      </c>
      <c r="B191" s="84" t="s">
        <v>45</v>
      </c>
      <c r="C191" s="84" t="s">
        <v>271</v>
      </c>
      <c r="D191" s="84" t="s">
        <v>1558</v>
      </c>
      <c r="E191" s="68">
        <v>84</v>
      </c>
      <c r="F191" s="84" t="s">
        <v>1574</v>
      </c>
      <c r="G191" s="85">
        <v>4</v>
      </c>
      <c r="H191" s="86" t="s">
        <v>1003</v>
      </c>
      <c r="I191" s="86" t="s">
        <v>1672</v>
      </c>
      <c r="J191" s="86" t="s">
        <v>1688</v>
      </c>
      <c r="K191" s="166">
        <v>0</v>
      </c>
      <c r="L191" s="167" t="s">
        <v>1048</v>
      </c>
      <c r="M191" s="2">
        <v>1</v>
      </c>
      <c r="N191" s="2">
        <f t="shared" si="2"/>
        <v>5</v>
      </c>
    </row>
    <row r="192" spans="1:14">
      <c r="A192" s="83">
        <v>86</v>
      </c>
      <c r="B192" s="84" t="s">
        <v>45</v>
      </c>
      <c r="C192" s="84" t="s">
        <v>271</v>
      </c>
      <c r="D192" s="84" t="s">
        <v>1558</v>
      </c>
      <c r="E192" s="68">
        <v>31</v>
      </c>
      <c r="F192" s="84" t="s">
        <v>1590</v>
      </c>
      <c r="G192" s="85">
        <v>5</v>
      </c>
      <c r="H192" s="86" t="s">
        <v>1003</v>
      </c>
      <c r="I192" s="86" t="s">
        <v>1672</v>
      </c>
      <c r="J192" s="86" t="s">
        <v>1688</v>
      </c>
      <c r="K192" s="166">
        <v>0</v>
      </c>
      <c r="L192" s="167" t="s">
        <v>1048</v>
      </c>
      <c r="M192" s="2">
        <v>1</v>
      </c>
      <c r="N192" s="2">
        <f t="shared" si="2"/>
        <v>5</v>
      </c>
    </row>
    <row r="193" spans="1:14">
      <c r="A193" s="89">
        <v>87</v>
      </c>
      <c r="B193" s="90" t="s">
        <v>93</v>
      </c>
      <c r="C193" s="90" t="s">
        <v>722</v>
      </c>
      <c r="D193" s="90" t="s">
        <v>1635</v>
      </c>
      <c r="E193" s="68">
        <v>61</v>
      </c>
      <c r="F193" s="90" t="s">
        <v>1608</v>
      </c>
      <c r="G193" s="91">
        <v>1</v>
      </c>
      <c r="H193" s="92" t="s">
        <v>1000</v>
      </c>
      <c r="I193" s="92" t="s">
        <v>566</v>
      </c>
      <c r="J193" s="92"/>
      <c r="K193" s="168" t="s">
        <v>1157</v>
      </c>
      <c r="L193" s="169" t="s">
        <v>1056</v>
      </c>
      <c r="M193" s="2">
        <v>2</v>
      </c>
      <c r="N193" s="2">
        <f t="shared" si="2"/>
        <v>5</v>
      </c>
    </row>
    <row r="194" spans="1:14">
      <c r="A194" s="16">
        <v>87</v>
      </c>
      <c r="B194" s="17" t="s">
        <v>93</v>
      </c>
      <c r="C194" s="17" t="s">
        <v>722</v>
      </c>
      <c r="D194" s="17" t="s">
        <v>1635</v>
      </c>
      <c r="E194" s="68">
        <v>87</v>
      </c>
      <c r="F194" s="17" t="s">
        <v>566</v>
      </c>
      <c r="G194" s="65">
        <v>2</v>
      </c>
      <c r="H194" s="66" t="s">
        <v>1000</v>
      </c>
      <c r="I194" s="66" t="s">
        <v>566</v>
      </c>
      <c r="J194" s="66"/>
      <c r="K194" s="157" t="s">
        <v>1157</v>
      </c>
      <c r="L194" s="170" t="s">
        <v>1056</v>
      </c>
      <c r="M194" s="2">
        <v>2</v>
      </c>
      <c r="N194" s="2">
        <f t="shared" si="2"/>
        <v>5</v>
      </c>
    </row>
    <row r="195" spans="1:14">
      <c r="A195" s="16">
        <v>87</v>
      </c>
      <c r="B195" s="17" t="s">
        <v>93</v>
      </c>
      <c r="C195" s="17" t="s">
        <v>722</v>
      </c>
      <c r="D195" s="17" t="s">
        <v>1635</v>
      </c>
      <c r="E195" s="68">
        <v>28</v>
      </c>
      <c r="F195" s="17" t="s">
        <v>570</v>
      </c>
      <c r="G195" s="65">
        <v>3</v>
      </c>
      <c r="H195" s="66" t="s">
        <v>1000</v>
      </c>
      <c r="I195" s="66" t="s">
        <v>566</v>
      </c>
      <c r="J195" s="66"/>
      <c r="K195" s="157" t="s">
        <v>1157</v>
      </c>
      <c r="L195" s="170" t="s">
        <v>1056</v>
      </c>
      <c r="M195" s="2">
        <v>2</v>
      </c>
      <c r="N195" s="2">
        <f t="shared" ref="N195:N258" si="3">COUNTIF(A:A,A195)</f>
        <v>5</v>
      </c>
    </row>
    <row r="196" spans="1:14">
      <c r="A196" s="16">
        <v>87</v>
      </c>
      <c r="B196" s="17" t="s">
        <v>93</v>
      </c>
      <c r="C196" s="17" t="s">
        <v>722</v>
      </c>
      <c r="D196" s="17" t="s">
        <v>1635</v>
      </c>
      <c r="E196" s="68">
        <v>74</v>
      </c>
      <c r="F196" s="17" t="s">
        <v>584</v>
      </c>
      <c r="G196" s="65">
        <v>4</v>
      </c>
      <c r="H196" s="66" t="s">
        <v>1000</v>
      </c>
      <c r="I196" s="66" t="s">
        <v>566</v>
      </c>
      <c r="J196" s="66"/>
      <c r="K196" s="157" t="s">
        <v>1157</v>
      </c>
      <c r="L196" s="170" t="s">
        <v>1056</v>
      </c>
      <c r="M196" s="2">
        <v>2</v>
      </c>
      <c r="N196" s="2">
        <f t="shared" si="3"/>
        <v>5</v>
      </c>
    </row>
    <row r="197" spans="1:14">
      <c r="A197" s="16">
        <v>87</v>
      </c>
      <c r="B197" s="17" t="s">
        <v>93</v>
      </c>
      <c r="C197" s="17" t="s">
        <v>722</v>
      </c>
      <c r="D197" s="17" t="s">
        <v>1635</v>
      </c>
      <c r="E197" s="68">
        <v>24</v>
      </c>
      <c r="F197" s="17" t="s">
        <v>951</v>
      </c>
      <c r="G197" s="65">
        <v>5</v>
      </c>
      <c r="H197" s="66" t="s">
        <v>1000</v>
      </c>
      <c r="I197" s="66" t="s">
        <v>566</v>
      </c>
      <c r="J197" s="66"/>
      <c r="K197" s="157" t="s">
        <v>1157</v>
      </c>
      <c r="L197" s="170" t="s">
        <v>1056</v>
      </c>
      <c r="M197" s="2">
        <v>2</v>
      </c>
      <c r="N197" s="2">
        <f t="shared" si="3"/>
        <v>5</v>
      </c>
    </row>
    <row r="198" spans="1:14">
      <c r="A198" s="83">
        <v>89</v>
      </c>
      <c r="B198" s="84" t="s">
        <v>728</v>
      </c>
      <c r="C198" s="84" t="s">
        <v>727</v>
      </c>
      <c r="D198" s="84" t="s">
        <v>1636</v>
      </c>
      <c r="E198" s="68">
        <v>50</v>
      </c>
      <c r="F198" s="84" t="s">
        <v>559</v>
      </c>
      <c r="G198" s="85">
        <v>1</v>
      </c>
      <c r="H198" s="86" t="s">
        <v>602</v>
      </c>
      <c r="I198" s="86" t="s">
        <v>1074</v>
      </c>
      <c r="J198" s="86" t="s">
        <v>1081</v>
      </c>
      <c r="K198" s="166">
        <v>0</v>
      </c>
      <c r="L198" s="167">
        <v>0</v>
      </c>
      <c r="M198" s="2">
        <v>1</v>
      </c>
      <c r="N198" s="2">
        <f t="shared" si="3"/>
        <v>5</v>
      </c>
    </row>
    <row r="199" spans="1:14">
      <c r="A199" s="83">
        <v>89</v>
      </c>
      <c r="B199" s="84" t="s">
        <v>728</v>
      </c>
      <c r="C199" s="84" t="s">
        <v>727</v>
      </c>
      <c r="D199" s="84" t="s">
        <v>1636</v>
      </c>
      <c r="E199" s="68">
        <v>51</v>
      </c>
      <c r="F199" s="84" t="s">
        <v>560</v>
      </c>
      <c r="G199" s="85">
        <v>2</v>
      </c>
      <c r="H199" s="86" t="s">
        <v>602</v>
      </c>
      <c r="I199" s="86" t="s">
        <v>1074</v>
      </c>
      <c r="J199" s="86" t="s">
        <v>1081</v>
      </c>
      <c r="K199" s="166">
        <v>0</v>
      </c>
      <c r="L199" s="167">
        <v>0</v>
      </c>
      <c r="M199" s="2">
        <v>1</v>
      </c>
      <c r="N199" s="2">
        <f t="shared" si="3"/>
        <v>5</v>
      </c>
    </row>
    <row r="200" spans="1:14">
      <c r="A200" s="83">
        <v>89</v>
      </c>
      <c r="B200" s="84" t="s">
        <v>728</v>
      </c>
      <c r="C200" s="84" t="s">
        <v>727</v>
      </c>
      <c r="D200" s="84" t="s">
        <v>1636</v>
      </c>
      <c r="E200" s="68">
        <v>54</v>
      </c>
      <c r="F200" s="84" t="s">
        <v>1603</v>
      </c>
      <c r="G200" s="85">
        <v>3</v>
      </c>
      <c r="H200" s="86" t="s">
        <v>602</v>
      </c>
      <c r="I200" s="86" t="s">
        <v>1074</v>
      </c>
      <c r="J200" s="86" t="s">
        <v>1081</v>
      </c>
      <c r="K200" s="166">
        <v>0</v>
      </c>
      <c r="L200" s="167">
        <v>0</v>
      </c>
      <c r="M200" s="2">
        <v>1</v>
      </c>
      <c r="N200" s="2">
        <f t="shared" si="3"/>
        <v>5</v>
      </c>
    </row>
    <row r="201" spans="1:14">
      <c r="A201" s="83">
        <v>89</v>
      </c>
      <c r="B201" s="84" t="s">
        <v>728</v>
      </c>
      <c r="C201" s="84" t="s">
        <v>727</v>
      </c>
      <c r="D201" s="84" t="s">
        <v>1636</v>
      </c>
      <c r="E201" s="68">
        <v>10</v>
      </c>
      <c r="F201" s="84" t="s">
        <v>1596</v>
      </c>
      <c r="G201" s="85">
        <v>4</v>
      </c>
      <c r="H201" s="86" t="s">
        <v>602</v>
      </c>
      <c r="I201" s="86" t="s">
        <v>1074</v>
      </c>
      <c r="J201" s="86" t="s">
        <v>1081</v>
      </c>
      <c r="K201" s="166">
        <v>0</v>
      </c>
      <c r="L201" s="167">
        <v>0</v>
      </c>
      <c r="M201" s="2">
        <v>1</v>
      </c>
      <c r="N201" s="2">
        <f t="shared" si="3"/>
        <v>5</v>
      </c>
    </row>
    <row r="202" spans="1:14">
      <c r="A202" s="83">
        <v>89</v>
      </c>
      <c r="B202" s="84" t="s">
        <v>728</v>
      </c>
      <c r="C202" s="84" t="s">
        <v>727</v>
      </c>
      <c r="D202" s="84" t="s">
        <v>1636</v>
      </c>
      <c r="E202" s="68">
        <v>78</v>
      </c>
      <c r="F202" s="84" t="s">
        <v>1589</v>
      </c>
      <c r="G202" s="85">
        <v>5</v>
      </c>
      <c r="H202" s="86" t="s">
        <v>602</v>
      </c>
      <c r="I202" s="86" t="s">
        <v>1074</v>
      </c>
      <c r="J202" s="86" t="s">
        <v>1081</v>
      </c>
      <c r="K202" s="166">
        <v>0</v>
      </c>
      <c r="L202" s="167">
        <v>0</v>
      </c>
      <c r="M202" s="2">
        <v>1</v>
      </c>
      <c r="N202" s="2">
        <f t="shared" si="3"/>
        <v>5</v>
      </c>
    </row>
    <row r="203" spans="1:14">
      <c r="A203" s="89">
        <v>90</v>
      </c>
      <c r="B203" s="90" t="s">
        <v>61</v>
      </c>
      <c r="C203" s="90" t="s">
        <v>272</v>
      </c>
      <c r="D203" s="90" t="s">
        <v>1636</v>
      </c>
      <c r="E203" s="68">
        <v>26</v>
      </c>
      <c r="F203" s="90" t="s">
        <v>1573</v>
      </c>
      <c r="G203" s="91">
        <v>1</v>
      </c>
      <c r="H203" s="92" t="s">
        <v>600</v>
      </c>
      <c r="I203" s="92"/>
      <c r="J203" s="92" t="s">
        <v>548</v>
      </c>
      <c r="K203" s="168">
        <v>0</v>
      </c>
      <c r="L203" s="169" t="s">
        <v>1056</v>
      </c>
      <c r="M203" s="2">
        <v>2</v>
      </c>
      <c r="N203" s="2">
        <f t="shared" si="3"/>
        <v>4</v>
      </c>
    </row>
    <row r="204" spans="1:14">
      <c r="A204" s="16">
        <v>90</v>
      </c>
      <c r="B204" s="17" t="s">
        <v>61</v>
      </c>
      <c r="C204" s="17" t="s">
        <v>272</v>
      </c>
      <c r="D204" s="17" t="s">
        <v>1636</v>
      </c>
      <c r="E204" s="68">
        <v>80</v>
      </c>
      <c r="F204" s="17" t="s">
        <v>1594</v>
      </c>
      <c r="G204" s="65">
        <v>2</v>
      </c>
      <c r="H204" s="66" t="s">
        <v>600</v>
      </c>
      <c r="I204" s="66"/>
      <c r="J204" s="66" t="s">
        <v>548</v>
      </c>
      <c r="K204" s="157">
        <v>0</v>
      </c>
      <c r="L204" s="170" t="s">
        <v>1056</v>
      </c>
      <c r="M204" s="2">
        <v>2</v>
      </c>
      <c r="N204" s="2">
        <f t="shared" si="3"/>
        <v>4</v>
      </c>
    </row>
    <row r="205" spans="1:14">
      <c r="A205" s="16">
        <v>90</v>
      </c>
      <c r="B205" s="17" t="s">
        <v>61</v>
      </c>
      <c r="C205" s="17" t="s">
        <v>272</v>
      </c>
      <c r="D205" s="17" t="s">
        <v>1636</v>
      </c>
      <c r="E205" s="68">
        <v>55</v>
      </c>
      <c r="F205" s="17" t="s">
        <v>1585</v>
      </c>
      <c r="G205" s="65">
        <v>3</v>
      </c>
      <c r="H205" s="66" t="s">
        <v>600</v>
      </c>
      <c r="I205" s="66"/>
      <c r="J205" s="66" t="s">
        <v>548</v>
      </c>
      <c r="K205" s="157">
        <v>0</v>
      </c>
      <c r="L205" s="170" t="s">
        <v>1056</v>
      </c>
      <c r="M205" s="2">
        <v>2</v>
      </c>
      <c r="N205" s="2">
        <f t="shared" si="3"/>
        <v>4</v>
      </c>
    </row>
    <row r="206" spans="1:14">
      <c r="A206" s="16">
        <v>90</v>
      </c>
      <c r="B206" s="17" t="s">
        <v>61</v>
      </c>
      <c r="C206" s="17" t="s">
        <v>272</v>
      </c>
      <c r="D206" s="17" t="s">
        <v>1636</v>
      </c>
      <c r="E206" s="68">
        <v>43</v>
      </c>
      <c r="F206" s="17" t="s">
        <v>1582</v>
      </c>
      <c r="G206" s="65">
        <v>4</v>
      </c>
      <c r="H206" s="66" t="s">
        <v>600</v>
      </c>
      <c r="I206" s="66"/>
      <c r="J206" s="66" t="s">
        <v>548</v>
      </c>
      <c r="K206" s="157">
        <v>0</v>
      </c>
      <c r="L206" s="170" t="s">
        <v>1056</v>
      </c>
      <c r="M206" s="2">
        <v>2</v>
      </c>
      <c r="N206" s="2">
        <f t="shared" si="3"/>
        <v>4</v>
      </c>
    </row>
    <row r="207" spans="1:14">
      <c r="A207" s="83">
        <v>93</v>
      </c>
      <c r="B207" s="84" t="s">
        <v>371</v>
      </c>
      <c r="C207" s="84" t="s">
        <v>116</v>
      </c>
      <c r="D207" s="84" t="s">
        <v>1637</v>
      </c>
      <c r="E207" s="68">
        <v>80</v>
      </c>
      <c r="F207" s="84" t="s">
        <v>1594</v>
      </c>
      <c r="G207" s="85">
        <v>1</v>
      </c>
      <c r="H207" s="86" t="s">
        <v>1023</v>
      </c>
      <c r="I207" s="86" t="s">
        <v>1673</v>
      </c>
      <c r="J207" s="86"/>
      <c r="K207" s="166">
        <v>0</v>
      </c>
      <c r="L207" s="167">
        <v>0</v>
      </c>
      <c r="M207" s="2">
        <v>1</v>
      </c>
      <c r="N207" s="2">
        <f t="shared" si="3"/>
        <v>1</v>
      </c>
    </row>
    <row r="208" spans="1:14" ht="20.25" customHeight="1">
      <c r="A208" s="89">
        <v>96</v>
      </c>
      <c r="B208" s="90" t="s">
        <v>90</v>
      </c>
      <c r="C208" s="90" t="s">
        <v>24</v>
      </c>
      <c r="D208" s="90" t="s">
        <v>1559</v>
      </c>
      <c r="E208" s="68">
        <v>96</v>
      </c>
      <c r="F208" s="90" t="s">
        <v>938</v>
      </c>
      <c r="G208" s="91">
        <v>1</v>
      </c>
      <c r="H208" s="92" t="s">
        <v>596</v>
      </c>
      <c r="I208" s="92" t="s">
        <v>1618</v>
      </c>
      <c r="J208" s="93" t="s">
        <v>1689</v>
      </c>
      <c r="K208" s="168" t="s">
        <v>1153</v>
      </c>
      <c r="L208" s="169">
        <v>0</v>
      </c>
      <c r="M208" s="2">
        <v>2</v>
      </c>
      <c r="N208" s="2">
        <f t="shared" si="3"/>
        <v>5</v>
      </c>
    </row>
    <row r="209" spans="1:14" ht="20.25" customHeight="1">
      <c r="A209" s="16">
        <v>96</v>
      </c>
      <c r="B209" s="17" t="s">
        <v>90</v>
      </c>
      <c r="C209" s="17" t="s">
        <v>24</v>
      </c>
      <c r="D209" s="17" t="s">
        <v>1559</v>
      </c>
      <c r="E209" s="68">
        <v>72</v>
      </c>
      <c r="F209" s="17" t="s">
        <v>582</v>
      </c>
      <c r="G209" s="65">
        <v>2</v>
      </c>
      <c r="H209" s="66" t="s">
        <v>596</v>
      </c>
      <c r="I209" s="66" t="s">
        <v>1618</v>
      </c>
      <c r="J209" s="70" t="s">
        <v>1689</v>
      </c>
      <c r="K209" s="168" t="s">
        <v>1153</v>
      </c>
      <c r="L209" s="170">
        <v>0</v>
      </c>
      <c r="M209" s="2">
        <v>2</v>
      </c>
      <c r="N209" s="2">
        <f t="shared" si="3"/>
        <v>5</v>
      </c>
    </row>
    <row r="210" spans="1:14" ht="20.25" customHeight="1">
      <c r="A210" s="16">
        <v>96</v>
      </c>
      <c r="B210" s="17" t="s">
        <v>90</v>
      </c>
      <c r="C210" s="17" t="s">
        <v>24</v>
      </c>
      <c r="D210" s="17" t="s">
        <v>1559</v>
      </c>
      <c r="E210" s="68">
        <v>39</v>
      </c>
      <c r="F210" s="17" t="s">
        <v>545</v>
      </c>
      <c r="G210" s="65">
        <v>3</v>
      </c>
      <c r="H210" s="66" t="s">
        <v>596</v>
      </c>
      <c r="I210" s="66" t="s">
        <v>1618</v>
      </c>
      <c r="J210" s="70" t="s">
        <v>1689</v>
      </c>
      <c r="K210" s="168" t="s">
        <v>1153</v>
      </c>
      <c r="L210" s="170">
        <v>0</v>
      </c>
      <c r="M210" s="2">
        <v>2</v>
      </c>
      <c r="N210" s="2">
        <f t="shared" si="3"/>
        <v>5</v>
      </c>
    </row>
    <row r="211" spans="1:14" ht="20.25" customHeight="1">
      <c r="A211" s="16">
        <v>96</v>
      </c>
      <c r="B211" s="17" t="s">
        <v>90</v>
      </c>
      <c r="C211" s="17" t="s">
        <v>24</v>
      </c>
      <c r="D211" s="17" t="s">
        <v>1559</v>
      </c>
      <c r="E211" s="68">
        <v>15</v>
      </c>
      <c r="F211" s="17" t="s">
        <v>543</v>
      </c>
      <c r="G211" s="65">
        <v>4</v>
      </c>
      <c r="H211" s="66" t="s">
        <v>596</v>
      </c>
      <c r="I211" s="66" t="s">
        <v>1618</v>
      </c>
      <c r="J211" s="70" t="s">
        <v>1689</v>
      </c>
      <c r="K211" s="168" t="s">
        <v>1153</v>
      </c>
      <c r="L211" s="170">
        <v>0</v>
      </c>
      <c r="M211" s="2">
        <v>2</v>
      </c>
      <c r="N211" s="2">
        <f t="shared" si="3"/>
        <v>5</v>
      </c>
    </row>
    <row r="212" spans="1:14" ht="20.25" customHeight="1">
      <c r="A212" s="16">
        <v>96</v>
      </c>
      <c r="B212" s="17" t="s">
        <v>90</v>
      </c>
      <c r="C212" s="17" t="s">
        <v>24</v>
      </c>
      <c r="D212" s="17" t="s">
        <v>1559</v>
      </c>
      <c r="E212" s="68">
        <v>95</v>
      </c>
      <c r="F212" s="17" t="s">
        <v>1611</v>
      </c>
      <c r="G212" s="65">
        <v>5</v>
      </c>
      <c r="H212" s="66" t="s">
        <v>596</v>
      </c>
      <c r="I212" s="66" t="s">
        <v>1618</v>
      </c>
      <c r="J212" s="70" t="s">
        <v>1689</v>
      </c>
      <c r="K212" s="168" t="s">
        <v>1153</v>
      </c>
      <c r="L212" s="170">
        <v>0</v>
      </c>
      <c r="M212" s="2">
        <v>2</v>
      </c>
      <c r="N212" s="2">
        <f t="shared" si="3"/>
        <v>5</v>
      </c>
    </row>
    <row r="213" spans="1:14">
      <c r="A213" s="83">
        <v>97</v>
      </c>
      <c r="B213" s="84" t="s">
        <v>276</v>
      </c>
      <c r="C213" s="84" t="s">
        <v>1086</v>
      </c>
      <c r="D213" s="84" t="s">
        <v>1559</v>
      </c>
      <c r="E213" s="68">
        <v>67</v>
      </c>
      <c r="F213" s="84" t="s">
        <v>1584</v>
      </c>
      <c r="G213" s="85">
        <v>1</v>
      </c>
      <c r="H213" s="86" t="s">
        <v>971</v>
      </c>
      <c r="I213" s="86" t="s">
        <v>1584</v>
      </c>
      <c r="J213" s="86" t="s">
        <v>582</v>
      </c>
      <c r="K213" s="166">
        <v>0</v>
      </c>
      <c r="L213" s="167" t="s">
        <v>1056</v>
      </c>
      <c r="M213" s="2">
        <v>1</v>
      </c>
      <c r="N213" s="2">
        <f t="shared" si="3"/>
        <v>2</v>
      </c>
    </row>
    <row r="214" spans="1:14">
      <c r="A214" s="83">
        <v>97</v>
      </c>
      <c r="B214" s="84" t="s">
        <v>276</v>
      </c>
      <c r="C214" s="84" t="s">
        <v>1086</v>
      </c>
      <c r="D214" s="84" t="s">
        <v>1559</v>
      </c>
      <c r="E214" s="68">
        <v>56</v>
      </c>
      <c r="F214" s="84" t="s">
        <v>1610</v>
      </c>
      <c r="G214" s="85">
        <v>2</v>
      </c>
      <c r="H214" s="86" t="s">
        <v>971</v>
      </c>
      <c r="I214" s="86" t="s">
        <v>1584</v>
      </c>
      <c r="J214" s="86" t="s">
        <v>582</v>
      </c>
      <c r="K214" s="166">
        <v>0</v>
      </c>
      <c r="L214" s="167" t="s">
        <v>1056</v>
      </c>
      <c r="M214" s="2">
        <v>1</v>
      </c>
      <c r="N214" s="2">
        <f t="shared" si="3"/>
        <v>2</v>
      </c>
    </row>
    <row r="215" spans="1:14">
      <c r="A215" s="89">
        <v>99</v>
      </c>
      <c r="B215" s="90" t="s">
        <v>277</v>
      </c>
      <c r="C215" s="90" t="s">
        <v>108</v>
      </c>
      <c r="D215" s="90" t="s">
        <v>1638</v>
      </c>
      <c r="E215" s="68">
        <v>23</v>
      </c>
      <c r="F215" s="90" t="s">
        <v>1586</v>
      </c>
      <c r="G215" s="91">
        <v>1</v>
      </c>
      <c r="H215" s="92" t="s">
        <v>1010</v>
      </c>
      <c r="I215" s="92" t="s">
        <v>1584</v>
      </c>
      <c r="J215" s="92" t="s">
        <v>1088</v>
      </c>
      <c r="K215" s="168" t="s">
        <v>1162</v>
      </c>
      <c r="L215" s="169">
        <v>0</v>
      </c>
      <c r="M215" s="2">
        <v>2</v>
      </c>
      <c r="N215" s="2">
        <f t="shared" si="3"/>
        <v>5</v>
      </c>
    </row>
    <row r="216" spans="1:14">
      <c r="A216" s="16">
        <v>99</v>
      </c>
      <c r="B216" s="17" t="s">
        <v>277</v>
      </c>
      <c r="C216" s="17" t="s">
        <v>108</v>
      </c>
      <c r="D216" s="17" t="s">
        <v>1638</v>
      </c>
      <c r="E216" s="68">
        <v>26</v>
      </c>
      <c r="F216" s="17" t="s">
        <v>1573</v>
      </c>
      <c r="G216" s="65">
        <v>2</v>
      </c>
      <c r="H216" s="66" t="s">
        <v>1010</v>
      </c>
      <c r="I216" s="66" t="s">
        <v>1584</v>
      </c>
      <c r="J216" s="66" t="s">
        <v>1088</v>
      </c>
      <c r="K216" s="157" t="s">
        <v>1162</v>
      </c>
      <c r="L216" s="170">
        <v>0</v>
      </c>
      <c r="M216" s="2">
        <v>2</v>
      </c>
      <c r="N216" s="2">
        <f t="shared" si="3"/>
        <v>5</v>
      </c>
    </row>
    <row r="217" spans="1:14">
      <c r="A217" s="16">
        <v>99</v>
      </c>
      <c r="B217" s="17" t="s">
        <v>277</v>
      </c>
      <c r="C217" s="17" t="s">
        <v>108</v>
      </c>
      <c r="D217" s="17" t="s">
        <v>1638</v>
      </c>
      <c r="E217" s="68">
        <v>54</v>
      </c>
      <c r="F217" s="17" t="s">
        <v>1603</v>
      </c>
      <c r="G217" s="65">
        <v>3</v>
      </c>
      <c r="H217" s="66" t="s">
        <v>1010</v>
      </c>
      <c r="I217" s="66" t="s">
        <v>1584</v>
      </c>
      <c r="J217" s="66" t="s">
        <v>1088</v>
      </c>
      <c r="K217" s="157" t="s">
        <v>1162</v>
      </c>
      <c r="L217" s="170">
        <v>0</v>
      </c>
      <c r="M217" s="2">
        <v>2</v>
      </c>
      <c r="N217" s="2">
        <f t="shared" si="3"/>
        <v>5</v>
      </c>
    </row>
    <row r="218" spans="1:14">
      <c r="A218" s="16">
        <v>99</v>
      </c>
      <c r="B218" s="17" t="s">
        <v>277</v>
      </c>
      <c r="C218" s="17" t="s">
        <v>108</v>
      </c>
      <c r="D218" s="17" t="s">
        <v>1638</v>
      </c>
      <c r="E218" s="68">
        <v>63</v>
      </c>
      <c r="F218" s="17" t="s">
        <v>1612</v>
      </c>
      <c r="G218" s="65">
        <v>4</v>
      </c>
      <c r="H218" s="66" t="s">
        <v>1010</v>
      </c>
      <c r="I218" s="66" t="s">
        <v>1584</v>
      </c>
      <c r="J218" s="66" t="s">
        <v>1088</v>
      </c>
      <c r="K218" s="157" t="s">
        <v>1162</v>
      </c>
      <c r="L218" s="170">
        <v>0</v>
      </c>
      <c r="M218" s="2">
        <v>2</v>
      </c>
      <c r="N218" s="2">
        <f t="shared" si="3"/>
        <v>5</v>
      </c>
    </row>
    <row r="219" spans="1:14">
      <c r="A219" s="16">
        <v>99</v>
      </c>
      <c r="B219" s="17" t="s">
        <v>277</v>
      </c>
      <c r="C219" s="17" t="s">
        <v>108</v>
      </c>
      <c r="D219" s="17" t="s">
        <v>1638</v>
      </c>
      <c r="E219" s="68">
        <v>31</v>
      </c>
      <c r="F219" s="17" t="s">
        <v>1590</v>
      </c>
      <c r="G219" s="65">
        <v>5</v>
      </c>
      <c r="H219" s="66" t="s">
        <v>1010</v>
      </c>
      <c r="I219" s="66" t="s">
        <v>1584</v>
      </c>
      <c r="J219" s="66" t="s">
        <v>1088</v>
      </c>
      <c r="K219" s="157" t="s">
        <v>1162</v>
      </c>
      <c r="L219" s="170">
        <v>0</v>
      </c>
      <c r="M219" s="2">
        <v>2</v>
      </c>
      <c r="N219" s="2">
        <f t="shared" si="3"/>
        <v>5</v>
      </c>
    </row>
    <row r="220" spans="1:14">
      <c r="A220" s="83">
        <v>101</v>
      </c>
      <c r="B220" s="84" t="s">
        <v>739</v>
      </c>
      <c r="C220" s="84" t="s">
        <v>738</v>
      </c>
      <c r="D220" s="84" t="s">
        <v>1551</v>
      </c>
      <c r="E220" s="68">
        <v>54</v>
      </c>
      <c r="F220" s="84" t="s">
        <v>1603</v>
      </c>
      <c r="G220" s="85">
        <v>1</v>
      </c>
      <c r="H220" s="86" t="s">
        <v>1024</v>
      </c>
      <c r="I220" s="86" t="s">
        <v>1674</v>
      </c>
      <c r="J220" s="86" t="s">
        <v>1090</v>
      </c>
      <c r="K220" s="166">
        <v>0</v>
      </c>
      <c r="L220" s="167">
        <v>0</v>
      </c>
      <c r="M220" s="2">
        <v>1</v>
      </c>
      <c r="N220" s="2">
        <f t="shared" si="3"/>
        <v>3</v>
      </c>
    </row>
    <row r="221" spans="1:14">
      <c r="A221" s="83">
        <v>101</v>
      </c>
      <c r="B221" s="84" t="s">
        <v>739</v>
      </c>
      <c r="C221" s="84" t="s">
        <v>738</v>
      </c>
      <c r="D221" s="84" t="s">
        <v>1551</v>
      </c>
      <c r="E221" s="68">
        <v>63</v>
      </c>
      <c r="F221" s="84" t="s">
        <v>1612</v>
      </c>
      <c r="G221" s="85">
        <v>2</v>
      </c>
      <c r="H221" s="86" t="s">
        <v>1024</v>
      </c>
      <c r="I221" s="86" t="s">
        <v>1674</v>
      </c>
      <c r="J221" s="86" t="s">
        <v>1090</v>
      </c>
      <c r="K221" s="166">
        <v>0</v>
      </c>
      <c r="L221" s="167">
        <v>0</v>
      </c>
      <c r="M221" s="2">
        <v>1</v>
      </c>
      <c r="N221" s="2">
        <f t="shared" si="3"/>
        <v>3</v>
      </c>
    </row>
    <row r="222" spans="1:14">
      <c r="A222" s="83">
        <v>101</v>
      </c>
      <c r="B222" s="84" t="s">
        <v>739</v>
      </c>
      <c r="C222" s="84" t="s">
        <v>738</v>
      </c>
      <c r="D222" s="84" t="s">
        <v>1551</v>
      </c>
      <c r="E222" s="68">
        <v>64</v>
      </c>
      <c r="F222" s="84" t="s">
        <v>1592</v>
      </c>
      <c r="G222" s="85">
        <v>3</v>
      </c>
      <c r="H222" s="86" t="s">
        <v>1024</v>
      </c>
      <c r="I222" s="86" t="s">
        <v>1674</v>
      </c>
      <c r="J222" s="86" t="s">
        <v>1090</v>
      </c>
      <c r="K222" s="166">
        <v>0</v>
      </c>
      <c r="L222" s="167">
        <v>0</v>
      </c>
      <c r="M222" s="2">
        <v>1</v>
      </c>
      <c r="N222" s="2">
        <f t="shared" si="3"/>
        <v>3</v>
      </c>
    </row>
    <row r="223" spans="1:14">
      <c r="A223" s="89">
        <v>102</v>
      </c>
      <c r="B223" s="90" t="s">
        <v>92</v>
      </c>
      <c r="C223" s="90" t="s">
        <v>17</v>
      </c>
      <c r="D223" s="90" t="s">
        <v>18</v>
      </c>
      <c r="E223" s="81">
        <v>10</v>
      </c>
      <c r="F223" s="90" t="s">
        <v>1596</v>
      </c>
      <c r="G223" s="91">
        <v>1</v>
      </c>
      <c r="H223" s="92" t="s">
        <v>1427</v>
      </c>
      <c r="I223" s="104" t="s">
        <v>1609</v>
      </c>
      <c r="J223" s="104" t="s">
        <v>1605</v>
      </c>
      <c r="K223" s="103" t="s">
        <v>1162</v>
      </c>
      <c r="L223" s="169"/>
      <c r="M223" s="2">
        <v>2</v>
      </c>
      <c r="N223" s="2">
        <f t="shared" si="3"/>
        <v>5</v>
      </c>
    </row>
    <row r="224" spans="1:14">
      <c r="A224" s="16">
        <v>102</v>
      </c>
      <c r="B224" s="17" t="s">
        <v>92</v>
      </c>
      <c r="C224" s="17" t="s">
        <v>17</v>
      </c>
      <c r="D224" s="17" t="s">
        <v>18</v>
      </c>
      <c r="E224" s="81">
        <v>28</v>
      </c>
      <c r="F224" s="17" t="s">
        <v>570</v>
      </c>
      <c r="G224" s="65">
        <v>2</v>
      </c>
      <c r="H224" s="66" t="s">
        <v>1427</v>
      </c>
      <c r="I224" s="105" t="s">
        <v>1609</v>
      </c>
      <c r="J224" s="105" t="s">
        <v>1605</v>
      </c>
      <c r="K224" s="98" t="s">
        <v>1162</v>
      </c>
      <c r="L224" s="170"/>
      <c r="M224" s="2">
        <v>2</v>
      </c>
      <c r="N224" s="2">
        <f t="shared" si="3"/>
        <v>5</v>
      </c>
    </row>
    <row r="225" spans="1:14">
      <c r="A225" s="16">
        <v>102</v>
      </c>
      <c r="B225" s="17" t="s">
        <v>92</v>
      </c>
      <c r="C225" s="17" t="s">
        <v>17</v>
      </c>
      <c r="D225" s="17" t="s">
        <v>18</v>
      </c>
      <c r="E225" s="81">
        <v>48</v>
      </c>
      <c r="F225" s="17" t="s">
        <v>1601</v>
      </c>
      <c r="G225" s="65">
        <v>3</v>
      </c>
      <c r="H225" s="66" t="s">
        <v>1427</v>
      </c>
      <c r="I225" s="105" t="s">
        <v>1609</v>
      </c>
      <c r="J225" s="105" t="s">
        <v>1605</v>
      </c>
      <c r="K225" s="98" t="s">
        <v>1162</v>
      </c>
      <c r="L225" s="170"/>
      <c r="M225" s="2">
        <v>2</v>
      </c>
      <c r="N225" s="2">
        <f t="shared" si="3"/>
        <v>5</v>
      </c>
    </row>
    <row r="226" spans="1:14">
      <c r="A226" s="16">
        <v>102</v>
      </c>
      <c r="B226" s="17" t="s">
        <v>92</v>
      </c>
      <c r="C226" s="17" t="s">
        <v>17</v>
      </c>
      <c r="D226" s="17" t="s">
        <v>18</v>
      </c>
      <c r="E226" s="81">
        <v>63</v>
      </c>
      <c r="F226" s="17" t="s">
        <v>1612</v>
      </c>
      <c r="G226" s="65">
        <v>4</v>
      </c>
      <c r="H226" s="66" t="s">
        <v>1427</v>
      </c>
      <c r="I226" s="105" t="s">
        <v>1609</v>
      </c>
      <c r="J226" s="105" t="s">
        <v>1605</v>
      </c>
      <c r="K226" s="98" t="s">
        <v>1162</v>
      </c>
      <c r="L226" s="170"/>
      <c r="M226" s="2">
        <v>2</v>
      </c>
      <c r="N226" s="2">
        <f t="shared" si="3"/>
        <v>5</v>
      </c>
    </row>
    <row r="227" spans="1:14">
      <c r="A227" s="16">
        <v>102</v>
      </c>
      <c r="B227" s="17" t="s">
        <v>92</v>
      </c>
      <c r="C227" s="17" t="s">
        <v>17</v>
      </c>
      <c r="D227" s="17" t="s">
        <v>18</v>
      </c>
      <c r="E227" s="81">
        <v>97</v>
      </c>
      <c r="F227" s="17" t="s">
        <v>939</v>
      </c>
      <c r="G227" s="65">
        <v>5</v>
      </c>
      <c r="H227" s="66" t="s">
        <v>1427</v>
      </c>
      <c r="I227" s="105" t="s">
        <v>1609</v>
      </c>
      <c r="J227" s="105" t="s">
        <v>1605</v>
      </c>
      <c r="K227" s="98" t="s">
        <v>1162</v>
      </c>
      <c r="L227" s="170"/>
      <c r="M227" s="2">
        <v>2</v>
      </c>
      <c r="N227" s="2">
        <f t="shared" si="3"/>
        <v>5</v>
      </c>
    </row>
    <row r="228" spans="1:14">
      <c r="A228" s="83">
        <v>103</v>
      </c>
      <c r="B228" s="84" t="s">
        <v>742</v>
      </c>
      <c r="C228" s="84" t="s">
        <v>741</v>
      </c>
      <c r="D228" s="84" t="s">
        <v>1551</v>
      </c>
      <c r="E228" s="68">
        <v>33</v>
      </c>
      <c r="F228" s="84" t="s">
        <v>1580</v>
      </c>
      <c r="G228" s="85">
        <v>1</v>
      </c>
      <c r="H228" s="86" t="s">
        <v>970</v>
      </c>
      <c r="I228" s="86" t="s">
        <v>1091</v>
      </c>
      <c r="J228" s="86" t="s">
        <v>1582</v>
      </c>
      <c r="K228" s="166">
        <v>0</v>
      </c>
      <c r="L228" s="167">
        <v>0</v>
      </c>
      <c r="M228" s="2">
        <v>1</v>
      </c>
      <c r="N228" s="2">
        <f t="shared" si="3"/>
        <v>5</v>
      </c>
    </row>
    <row r="229" spans="1:14">
      <c r="A229" s="83">
        <v>103</v>
      </c>
      <c r="B229" s="84" t="s">
        <v>742</v>
      </c>
      <c r="C229" s="84" t="s">
        <v>741</v>
      </c>
      <c r="D229" s="84" t="s">
        <v>1551</v>
      </c>
      <c r="E229" s="68">
        <v>43</v>
      </c>
      <c r="F229" s="84" t="s">
        <v>1582</v>
      </c>
      <c r="G229" s="85">
        <v>2</v>
      </c>
      <c r="H229" s="86" t="s">
        <v>970</v>
      </c>
      <c r="I229" s="86" t="s">
        <v>1091</v>
      </c>
      <c r="J229" s="86" t="s">
        <v>1582</v>
      </c>
      <c r="K229" s="166">
        <v>0</v>
      </c>
      <c r="L229" s="167">
        <v>0</v>
      </c>
      <c r="M229" s="2">
        <v>1</v>
      </c>
      <c r="N229" s="2">
        <f t="shared" si="3"/>
        <v>5</v>
      </c>
    </row>
    <row r="230" spans="1:14">
      <c r="A230" s="99">
        <v>103</v>
      </c>
      <c r="B230" s="100" t="s">
        <v>742</v>
      </c>
      <c r="C230" s="100" t="s">
        <v>741</v>
      </c>
      <c r="D230" s="100" t="s">
        <v>1551</v>
      </c>
      <c r="E230" s="68">
        <v>55</v>
      </c>
      <c r="F230" s="100" t="s">
        <v>1585</v>
      </c>
      <c r="G230" s="101">
        <v>3</v>
      </c>
      <c r="H230" s="102" t="s">
        <v>970</v>
      </c>
      <c r="I230" s="102" t="s">
        <v>1091</v>
      </c>
      <c r="J230" s="102" t="s">
        <v>1582</v>
      </c>
      <c r="K230" s="171">
        <v>0</v>
      </c>
      <c r="L230" s="172">
        <v>0</v>
      </c>
      <c r="M230" s="2">
        <v>1</v>
      </c>
      <c r="N230" s="2">
        <f t="shared" si="3"/>
        <v>5</v>
      </c>
    </row>
    <row r="231" spans="1:14">
      <c r="A231" s="83">
        <v>103</v>
      </c>
      <c r="B231" s="84" t="s">
        <v>742</v>
      </c>
      <c r="C231" s="84" t="s">
        <v>741</v>
      </c>
      <c r="D231" s="84" t="s">
        <v>1551</v>
      </c>
      <c r="E231" s="68">
        <v>97</v>
      </c>
      <c r="F231" s="84" t="s">
        <v>939</v>
      </c>
      <c r="G231" s="85">
        <v>4</v>
      </c>
      <c r="H231" s="86" t="s">
        <v>970</v>
      </c>
      <c r="I231" s="86" t="s">
        <v>1091</v>
      </c>
      <c r="J231" s="86" t="s">
        <v>1582</v>
      </c>
      <c r="K231" s="166">
        <v>0</v>
      </c>
      <c r="L231" s="167">
        <v>0</v>
      </c>
      <c r="M231" s="2">
        <v>1</v>
      </c>
      <c r="N231" s="2">
        <f t="shared" si="3"/>
        <v>5</v>
      </c>
    </row>
    <row r="232" spans="1:14">
      <c r="A232" s="83">
        <v>103</v>
      </c>
      <c r="B232" s="84" t="s">
        <v>742</v>
      </c>
      <c r="C232" s="84" t="s">
        <v>741</v>
      </c>
      <c r="D232" s="84" t="s">
        <v>1551</v>
      </c>
      <c r="E232" s="68">
        <v>97</v>
      </c>
      <c r="F232" s="84" t="s">
        <v>939</v>
      </c>
      <c r="G232" s="85">
        <v>5</v>
      </c>
      <c r="H232" s="86" t="s">
        <v>970</v>
      </c>
      <c r="I232" s="86" t="s">
        <v>1091</v>
      </c>
      <c r="J232" s="86" t="s">
        <v>1582</v>
      </c>
      <c r="K232" s="166">
        <v>0</v>
      </c>
      <c r="L232" s="167">
        <v>0</v>
      </c>
      <c r="M232" s="2">
        <v>1</v>
      </c>
      <c r="N232" s="2">
        <f t="shared" si="3"/>
        <v>5</v>
      </c>
    </row>
    <row r="233" spans="1:14">
      <c r="A233" s="16">
        <v>105</v>
      </c>
      <c r="B233" s="17" t="s">
        <v>13</v>
      </c>
      <c r="C233" s="17" t="s">
        <v>39</v>
      </c>
      <c r="D233" s="17" t="s">
        <v>1551</v>
      </c>
      <c r="E233" s="68">
        <v>28</v>
      </c>
      <c r="F233" s="17" t="s">
        <v>570</v>
      </c>
      <c r="G233" s="65">
        <v>1</v>
      </c>
      <c r="H233" s="66" t="s">
        <v>1022</v>
      </c>
      <c r="I233" s="66"/>
      <c r="J233" s="66" t="s">
        <v>951</v>
      </c>
      <c r="K233" s="157" t="s">
        <v>1159</v>
      </c>
      <c r="L233" s="170">
        <v>0</v>
      </c>
      <c r="M233" s="2">
        <v>2</v>
      </c>
      <c r="N233" s="2">
        <f t="shared" si="3"/>
        <v>2</v>
      </c>
    </row>
    <row r="234" spans="1:14">
      <c r="A234" s="16">
        <v>105</v>
      </c>
      <c r="B234" s="17" t="s">
        <v>13</v>
      </c>
      <c r="C234" s="17" t="s">
        <v>39</v>
      </c>
      <c r="D234" s="17" t="s">
        <v>1551</v>
      </c>
      <c r="E234" s="68">
        <v>53</v>
      </c>
      <c r="F234" s="17" t="s">
        <v>562</v>
      </c>
      <c r="G234" s="65">
        <v>2</v>
      </c>
      <c r="H234" s="66" t="s">
        <v>1022</v>
      </c>
      <c r="I234" s="66"/>
      <c r="J234" s="66" t="s">
        <v>951</v>
      </c>
      <c r="K234" s="157" t="s">
        <v>1159</v>
      </c>
      <c r="L234" s="170">
        <v>0</v>
      </c>
      <c r="M234" s="2">
        <v>2</v>
      </c>
      <c r="N234" s="2">
        <f t="shared" si="3"/>
        <v>2</v>
      </c>
    </row>
    <row r="235" spans="1:14">
      <c r="A235" s="83">
        <v>107</v>
      </c>
      <c r="B235" s="84" t="s">
        <v>746</v>
      </c>
      <c r="C235" s="84" t="s">
        <v>745</v>
      </c>
      <c r="D235" s="84" t="s">
        <v>1551</v>
      </c>
      <c r="E235" s="68">
        <v>49</v>
      </c>
      <c r="F235" s="84" t="s">
        <v>1591</v>
      </c>
      <c r="G235" s="85">
        <v>1</v>
      </c>
      <c r="H235" s="86" t="s">
        <v>587</v>
      </c>
      <c r="I235" s="86" t="s">
        <v>1070</v>
      </c>
      <c r="J235" s="86" t="s">
        <v>1598</v>
      </c>
      <c r="K235" s="166">
        <v>0</v>
      </c>
      <c r="L235" s="167">
        <v>0</v>
      </c>
      <c r="M235" s="2">
        <v>1</v>
      </c>
      <c r="N235" s="2">
        <f t="shared" si="3"/>
        <v>5</v>
      </c>
    </row>
    <row r="236" spans="1:14">
      <c r="A236" s="83">
        <v>107</v>
      </c>
      <c r="B236" s="84" t="s">
        <v>746</v>
      </c>
      <c r="C236" s="84" t="s">
        <v>745</v>
      </c>
      <c r="D236" s="84" t="s">
        <v>1551</v>
      </c>
      <c r="E236" s="68">
        <v>53</v>
      </c>
      <c r="F236" s="84" t="s">
        <v>562</v>
      </c>
      <c r="G236" s="85">
        <v>2</v>
      </c>
      <c r="H236" s="86" t="s">
        <v>587</v>
      </c>
      <c r="I236" s="86" t="s">
        <v>1070</v>
      </c>
      <c r="J236" s="86" t="s">
        <v>1598</v>
      </c>
      <c r="K236" s="166">
        <v>0</v>
      </c>
      <c r="L236" s="167">
        <v>0</v>
      </c>
      <c r="M236" s="2">
        <v>1</v>
      </c>
      <c r="N236" s="2">
        <f t="shared" si="3"/>
        <v>5</v>
      </c>
    </row>
    <row r="237" spans="1:14">
      <c r="A237" s="99">
        <v>107</v>
      </c>
      <c r="B237" s="100" t="s">
        <v>746</v>
      </c>
      <c r="C237" s="100" t="s">
        <v>745</v>
      </c>
      <c r="D237" s="100" t="s">
        <v>1551</v>
      </c>
      <c r="E237" s="68">
        <v>55</v>
      </c>
      <c r="F237" s="100" t="s">
        <v>1585</v>
      </c>
      <c r="G237" s="101">
        <v>3</v>
      </c>
      <c r="H237" s="102" t="s">
        <v>587</v>
      </c>
      <c r="I237" s="102" t="s">
        <v>1070</v>
      </c>
      <c r="J237" s="102" t="s">
        <v>1598</v>
      </c>
      <c r="K237" s="171">
        <v>0</v>
      </c>
      <c r="L237" s="172">
        <v>0</v>
      </c>
      <c r="M237" s="2">
        <v>1</v>
      </c>
      <c r="N237" s="2">
        <f t="shared" si="3"/>
        <v>5</v>
      </c>
    </row>
    <row r="238" spans="1:14">
      <c r="A238" s="83">
        <v>107</v>
      </c>
      <c r="B238" s="84" t="s">
        <v>746</v>
      </c>
      <c r="C238" s="84" t="s">
        <v>745</v>
      </c>
      <c r="D238" s="84" t="s">
        <v>1551</v>
      </c>
      <c r="E238" s="68">
        <v>11</v>
      </c>
      <c r="F238" s="84" t="s">
        <v>1595</v>
      </c>
      <c r="G238" s="85">
        <v>4</v>
      </c>
      <c r="H238" s="86" t="s">
        <v>587</v>
      </c>
      <c r="I238" s="86" t="s">
        <v>1070</v>
      </c>
      <c r="J238" s="86" t="s">
        <v>1598</v>
      </c>
      <c r="K238" s="166">
        <v>0</v>
      </c>
      <c r="L238" s="167">
        <v>0</v>
      </c>
      <c r="M238" s="2">
        <v>1</v>
      </c>
      <c r="N238" s="2">
        <f t="shared" si="3"/>
        <v>5</v>
      </c>
    </row>
    <row r="239" spans="1:14">
      <c r="A239" s="83">
        <v>107</v>
      </c>
      <c r="B239" s="84" t="s">
        <v>746</v>
      </c>
      <c r="C239" s="84" t="s">
        <v>745</v>
      </c>
      <c r="D239" s="84" t="s">
        <v>1551</v>
      </c>
      <c r="E239" s="68">
        <v>16</v>
      </c>
      <c r="F239" s="84" t="s">
        <v>544</v>
      </c>
      <c r="G239" s="85">
        <v>5</v>
      </c>
      <c r="H239" s="86" t="s">
        <v>587</v>
      </c>
      <c r="I239" s="86" t="s">
        <v>1070</v>
      </c>
      <c r="J239" s="86" t="s">
        <v>1598</v>
      </c>
      <c r="K239" s="166">
        <v>0</v>
      </c>
      <c r="L239" s="167">
        <v>0</v>
      </c>
      <c r="M239" s="2">
        <v>1</v>
      </c>
      <c r="N239" s="2">
        <f t="shared" si="3"/>
        <v>5</v>
      </c>
    </row>
    <row r="240" spans="1:14">
      <c r="A240" s="16">
        <v>109</v>
      </c>
      <c r="B240" s="17" t="s">
        <v>282</v>
      </c>
      <c r="C240" s="17" t="s">
        <v>83</v>
      </c>
      <c r="D240" s="17" t="s">
        <v>1560</v>
      </c>
      <c r="E240" s="68">
        <v>67</v>
      </c>
      <c r="F240" s="17" t="s">
        <v>1584</v>
      </c>
      <c r="G240" s="65">
        <v>1</v>
      </c>
      <c r="H240" s="66" t="s">
        <v>1011</v>
      </c>
      <c r="I240" s="66" t="s">
        <v>1584</v>
      </c>
      <c r="J240" s="66" t="s">
        <v>1584</v>
      </c>
      <c r="K240" s="157" t="s">
        <v>1156</v>
      </c>
      <c r="L240" s="170">
        <v>0</v>
      </c>
      <c r="M240" s="2">
        <v>2</v>
      </c>
      <c r="N240" s="2">
        <f t="shared" si="3"/>
        <v>2</v>
      </c>
    </row>
    <row r="241" spans="1:14">
      <c r="A241" s="16">
        <v>109</v>
      </c>
      <c r="B241" s="17" t="s">
        <v>282</v>
      </c>
      <c r="C241" s="17" t="s">
        <v>83</v>
      </c>
      <c r="D241" s="17" t="s">
        <v>1560</v>
      </c>
      <c r="E241" s="68">
        <v>56</v>
      </c>
      <c r="F241" s="17" t="s">
        <v>1610</v>
      </c>
      <c r="G241" s="65">
        <v>2</v>
      </c>
      <c r="H241" s="66" t="s">
        <v>1011</v>
      </c>
      <c r="I241" s="66" t="s">
        <v>1584</v>
      </c>
      <c r="J241" s="66" t="s">
        <v>1584</v>
      </c>
      <c r="K241" s="157" t="s">
        <v>1156</v>
      </c>
      <c r="L241" s="170">
        <v>0</v>
      </c>
      <c r="M241" s="2">
        <v>2</v>
      </c>
      <c r="N241" s="2">
        <f t="shared" si="3"/>
        <v>2</v>
      </c>
    </row>
    <row r="242" spans="1:14">
      <c r="A242" s="83">
        <v>110</v>
      </c>
      <c r="B242" s="84" t="s">
        <v>283</v>
      </c>
      <c r="C242" s="84" t="s">
        <v>83</v>
      </c>
      <c r="D242" s="84" t="s">
        <v>1560</v>
      </c>
      <c r="E242" s="68">
        <v>60</v>
      </c>
      <c r="F242" s="84" t="s">
        <v>555</v>
      </c>
      <c r="G242" s="85">
        <v>1</v>
      </c>
      <c r="H242" s="86" t="s">
        <v>587</v>
      </c>
      <c r="I242" s="86" t="s">
        <v>1581</v>
      </c>
      <c r="J242" s="86"/>
      <c r="K242" s="166">
        <v>0</v>
      </c>
      <c r="L242" s="167" t="s">
        <v>1164</v>
      </c>
      <c r="M242" s="2">
        <v>1</v>
      </c>
      <c r="N242" s="2">
        <f t="shared" si="3"/>
        <v>5</v>
      </c>
    </row>
    <row r="243" spans="1:14">
      <c r="A243" s="99">
        <v>110</v>
      </c>
      <c r="B243" s="100" t="s">
        <v>283</v>
      </c>
      <c r="C243" s="100" t="s">
        <v>83</v>
      </c>
      <c r="D243" s="100" t="s">
        <v>1560</v>
      </c>
      <c r="E243" s="68">
        <v>15</v>
      </c>
      <c r="F243" s="100" t="s">
        <v>543</v>
      </c>
      <c r="G243" s="101">
        <v>2</v>
      </c>
      <c r="H243" s="102" t="s">
        <v>587</v>
      </c>
      <c r="I243" s="102" t="s">
        <v>1581</v>
      </c>
      <c r="J243" s="102"/>
      <c r="K243" s="171">
        <v>0</v>
      </c>
      <c r="L243" s="172" t="s">
        <v>1164</v>
      </c>
      <c r="M243" s="2">
        <v>1</v>
      </c>
      <c r="N243" s="2">
        <f t="shared" si="3"/>
        <v>5</v>
      </c>
    </row>
    <row r="244" spans="1:14">
      <c r="A244" s="83">
        <v>110</v>
      </c>
      <c r="B244" s="84" t="s">
        <v>283</v>
      </c>
      <c r="C244" s="84" t="s">
        <v>83</v>
      </c>
      <c r="D244" s="84" t="s">
        <v>1560</v>
      </c>
      <c r="E244" s="68">
        <v>35</v>
      </c>
      <c r="F244" s="84" t="s">
        <v>1576</v>
      </c>
      <c r="G244" s="85">
        <v>3</v>
      </c>
      <c r="H244" s="86" t="s">
        <v>587</v>
      </c>
      <c r="I244" s="86" t="s">
        <v>1581</v>
      </c>
      <c r="J244" s="86"/>
      <c r="K244" s="166">
        <v>0</v>
      </c>
      <c r="L244" s="167" t="s">
        <v>1164</v>
      </c>
      <c r="M244" s="2">
        <v>1</v>
      </c>
      <c r="N244" s="2">
        <f t="shared" si="3"/>
        <v>5</v>
      </c>
    </row>
    <row r="245" spans="1:14">
      <c r="A245" s="83">
        <v>110</v>
      </c>
      <c r="B245" s="84" t="s">
        <v>283</v>
      </c>
      <c r="C245" s="84" t="s">
        <v>83</v>
      </c>
      <c r="D245" s="84" t="s">
        <v>1560</v>
      </c>
      <c r="E245" s="68">
        <v>41</v>
      </c>
      <c r="F245" s="84" t="s">
        <v>1598</v>
      </c>
      <c r="G245" s="85">
        <v>4</v>
      </c>
      <c r="H245" s="86" t="s">
        <v>587</v>
      </c>
      <c r="I245" s="86" t="s">
        <v>1581</v>
      </c>
      <c r="J245" s="86"/>
      <c r="K245" s="166">
        <v>0</v>
      </c>
      <c r="L245" s="167" t="s">
        <v>1164</v>
      </c>
      <c r="M245" s="2">
        <v>1</v>
      </c>
      <c r="N245" s="2">
        <f t="shared" si="3"/>
        <v>5</v>
      </c>
    </row>
    <row r="246" spans="1:14">
      <c r="A246" s="83">
        <v>110</v>
      </c>
      <c r="B246" s="84" t="s">
        <v>283</v>
      </c>
      <c r="C246" s="84" t="s">
        <v>83</v>
      </c>
      <c r="D246" s="84" t="s">
        <v>1560</v>
      </c>
      <c r="E246" s="68">
        <v>11</v>
      </c>
      <c r="F246" s="84" t="s">
        <v>1595</v>
      </c>
      <c r="G246" s="85">
        <v>5</v>
      </c>
      <c r="H246" s="86" t="s">
        <v>587</v>
      </c>
      <c r="I246" s="86" t="s">
        <v>1581</v>
      </c>
      <c r="J246" s="86"/>
      <c r="K246" s="166">
        <v>0</v>
      </c>
      <c r="L246" s="167" t="s">
        <v>1164</v>
      </c>
      <c r="M246" s="2">
        <v>1</v>
      </c>
      <c r="N246" s="2">
        <f t="shared" si="3"/>
        <v>5</v>
      </c>
    </row>
    <row r="247" spans="1:14">
      <c r="A247" s="16">
        <v>112</v>
      </c>
      <c r="B247" s="17" t="s">
        <v>287</v>
      </c>
      <c r="C247" s="17" t="s">
        <v>286</v>
      </c>
      <c r="D247" s="17" t="s">
        <v>1639</v>
      </c>
      <c r="E247" s="68">
        <v>28</v>
      </c>
      <c r="F247" s="17" t="s">
        <v>570</v>
      </c>
      <c r="G247" s="65">
        <v>1</v>
      </c>
      <c r="H247" s="66" t="s">
        <v>1021</v>
      </c>
      <c r="I247" s="66" t="s">
        <v>570</v>
      </c>
      <c r="J247" s="66" t="s">
        <v>1690</v>
      </c>
      <c r="K247" s="157">
        <v>0</v>
      </c>
      <c r="L247" s="170">
        <v>0</v>
      </c>
      <c r="M247" s="2">
        <v>2</v>
      </c>
      <c r="N247" s="2">
        <f t="shared" si="3"/>
        <v>1</v>
      </c>
    </row>
    <row r="248" spans="1:14">
      <c r="A248" s="83">
        <v>115</v>
      </c>
      <c r="B248" s="84" t="s">
        <v>758</v>
      </c>
      <c r="C248" s="84" t="s">
        <v>757</v>
      </c>
      <c r="D248" s="84" t="s">
        <v>1640</v>
      </c>
      <c r="E248" s="68">
        <v>34</v>
      </c>
      <c r="F248" s="84" t="s">
        <v>1581</v>
      </c>
      <c r="G248" s="85">
        <v>1</v>
      </c>
      <c r="H248" s="86" t="s">
        <v>587</v>
      </c>
      <c r="I248" s="86" t="s">
        <v>1097</v>
      </c>
      <c r="J248" s="86" t="s">
        <v>1581</v>
      </c>
      <c r="K248" s="166" t="s">
        <v>1153</v>
      </c>
      <c r="L248" s="167">
        <v>0</v>
      </c>
      <c r="M248" s="2">
        <v>1</v>
      </c>
      <c r="N248" s="2">
        <f t="shared" si="3"/>
        <v>5</v>
      </c>
    </row>
    <row r="249" spans="1:14">
      <c r="A249" s="83">
        <v>115</v>
      </c>
      <c r="B249" s="84" t="s">
        <v>758</v>
      </c>
      <c r="C249" s="84" t="s">
        <v>757</v>
      </c>
      <c r="D249" s="84" t="s">
        <v>1640</v>
      </c>
      <c r="E249" s="68">
        <v>35</v>
      </c>
      <c r="F249" s="84" t="s">
        <v>1576</v>
      </c>
      <c r="G249" s="85">
        <v>2</v>
      </c>
      <c r="H249" s="86" t="s">
        <v>587</v>
      </c>
      <c r="I249" s="86" t="s">
        <v>1097</v>
      </c>
      <c r="J249" s="86" t="s">
        <v>1581</v>
      </c>
      <c r="K249" s="166" t="s">
        <v>1153</v>
      </c>
      <c r="L249" s="167">
        <v>0</v>
      </c>
      <c r="M249" s="2">
        <v>1</v>
      </c>
      <c r="N249" s="2">
        <f t="shared" si="3"/>
        <v>5</v>
      </c>
    </row>
    <row r="250" spans="1:14">
      <c r="A250" s="83">
        <v>115</v>
      </c>
      <c r="B250" s="84" t="s">
        <v>758</v>
      </c>
      <c r="C250" s="84" t="s">
        <v>757</v>
      </c>
      <c r="D250" s="84" t="s">
        <v>1640</v>
      </c>
      <c r="E250" s="68">
        <v>36</v>
      </c>
      <c r="F250" s="84" t="s">
        <v>557</v>
      </c>
      <c r="G250" s="85">
        <v>3</v>
      </c>
      <c r="H250" s="86" t="s">
        <v>587</v>
      </c>
      <c r="I250" s="86" t="s">
        <v>1097</v>
      </c>
      <c r="J250" s="86" t="s">
        <v>1581</v>
      </c>
      <c r="K250" s="166" t="s">
        <v>1153</v>
      </c>
      <c r="L250" s="167">
        <v>0</v>
      </c>
      <c r="M250" s="2">
        <v>1</v>
      </c>
      <c r="N250" s="2">
        <f t="shared" si="3"/>
        <v>5</v>
      </c>
    </row>
    <row r="251" spans="1:14">
      <c r="A251" s="83">
        <v>115</v>
      </c>
      <c r="B251" s="84" t="s">
        <v>758</v>
      </c>
      <c r="C251" s="84" t="s">
        <v>757</v>
      </c>
      <c r="D251" s="84" t="s">
        <v>1640</v>
      </c>
      <c r="E251" s="68">
        <v>37</v>
      </c>
      <c r="F251" s="84" t="s">
        <v>1606</v>
      </c>
      <c r="G251" s="85">
        <v>4</v>
      </c>
      <c r="H251" s="86" t="s">
        <v>587</v>
      </c>
      <c r="I251" s="86" t="s">
        <v>1097</v>
      </c>
      <c r="J251" s="86" t="s">
        <v>1581</v>
      </c>
      <c r="K251" s="166" t="s">
        <v>1153</v>
      </c>
      <c r="L251" s="167">
        <v>0</v>
      </c>
      <c r="M251" s="2">
        <v>1</v>
      </c>
      <c r="N251" s="2">
        <f t="shared" si="3"/>
        <v>5</v>
      </c>
    </row>
    <row r="252" spans="1:14">
      <c r="A252" s="83">
        <v>115</v>
      </c>
      <c r="B252" s="84" t="s">
        <v>758</v>
      </c>
      <c r="C252" s="84" t="s">
        <v>757</v>
      </c>
      <c r="D252" s="84" t="s">
        <v>1640</v>
      </c>
      <c r="E252" s="68">
        <v>38</v>
      </c>
      <c r="F252" s="84" t="s">
        <v>1577</v>
      </c>
      <c r="G252" s="85">
        <v>5</v>
      </c>
      <c r="H252" s="86" t="s">
        <v>587</v>
      </c>
      <c r="I252" s="86" t="s">
        <v>1097</v>
      </c>
      <c r="J252" s="86" t="s">
        <v>1581</v>
      </c>
      <c r="K252" s="166" t="s">
        <v>1153</v>
      </c>
      <c r="L252" s="167">
        <v>0</v>
      </c>
      <c r="M252" s="2">
        <v>1</v>
      </c>
      <c r="N252" s="2">
        <f t="shared" si="3"/>
        <v>5</v>
      </c>
    </row>
    <row r="253" spans="1:14">
      <c r="A253" s="89">
        <v>118</v>
      </c>
      <c r="B253" s="90" t="s">
        <v>106</v>
      </c>
      <c r="C253" s="90" t="s">
        <v>761</v>
      </c>
      <c r="D253" s="90" t="s">
        <v>1640</v>
      </c>
      <c r="E253" s="68">
        <v>4</v>
      </c>
      <c r="F253" s="90" t="s">
        <v>1575</v>
      </c>
      <c r="G253" s="91">
        <v>1</v>
      </c>
      <c r="H253" s="92" t="s">
        <v>1025</v>
      </c>
      <c r="I253" s="92" t="s">
        <v>1575</v>
      </c>
      <c r="J253" s="92" t="s">
        <v>1575</v>
      </c>
      <c r="K253" s="168" t="s">
        <v>1157</v>
      </c>
      <c r="L253" s="169" t="s">
        <v>1158</v>
      </c>
      <c r="M253" s="2">
        <v>2</v>
      </c>
      <c r="N253" s="2">
        <f t="shared" si="3"/>
        <v>5</v>
      </c>
    </row>
    <row r="254" spans="1:14">
      <c r="A254" s="16">
        <v>118</v>
      </c>
      <c r="B254" s="17" t="s">
        <v>106</v>
      </c>
      <c r="C254" s="17" t="s">
        <v>761</v>
      </c>
      <c r="D254" s="17" t="s">
        <v>1640</v>
      </c>
      <c r="E254" s="68">
        <v>7</v>
      </c>
      <c r="F254" s="17" t="s">
        <v>564</v>
      </c>
      <c r="G254" s="65">
        <v>2</v>
      </c>
      <c r="H254" s="66" t="s">
        <v>1025</v>
      </c>
      <c r="I254" s="66" t="s">
        <v>1575</v>
      </c>
      <c r="J254" s="66" t="s">
        <v>1575</v>
      </c>
      <c r="K254" s="157" t="s">
        <v>1157</v>
      </c>
      <c r="L254" s="170" t="s">
        <v>1158</v>
      </c>
      <c r="M254" s="2">
        <v>2</v>
      </c>
      <c r="N254" s="2">
        <f t="shared" si="3"/>
        <v>5</v>
      </c>
    </row>
    <row r="255" spans="1:14">
      <c r="A255" s="16">
        <v>118</v>
      </c>
      <c r="B255" s="17" t="s">
        <v>106</v>
      </c>
      <c r="C255" s="17" t="s">
        <v>761</v>
      </c>
      <c r="D255" s="17" t="s">
        <v>1640</v>
      </c>
      <c r="E255" s="68">
        <v>9</v>
      </c>
      <c r="F255" s="17" t="s">
        <v>537</v>
      </c>
      <c r="G255" s="65">
        <v>3</v>
      </c>
      <c r="H255" s="66" t="s">
        <v>1025</v>
      </c>
      <c r="I255" s="66" t="s">
        <v>1575</v>
      </c>
      <c r="J255" s="66" t="s">
        <v>1575</v>
      </c>
      <c r="K255" s="157" t="s">
        <v>1157</v>
      </c>
      <c r="L255" s="170" t="s">
        <v>1158</v>
      </c>
      <c r="M255" s="2">
        <v>2</v>
      </c>
      <c r="N255" s="2">
        <f t="shared" si="3"/>
        <v>5</v>
      </c>
    </row>
    <row r="256" spans="1:14">
      <c r="A256" s="16">
        <v>118</v>
      </c>
      <c r="B256" s="17" t="s">
        <v>106</v>
      </c>
      <c r="C256" s="17" t="s">
        <v>761</v>
      </c>
      <c r="D256" s="17" t="s">
        <v>1640</v>
      </c>
      <c r="E256" s="68">
        <v>16</v>
      </c>
      <c r="F256" s="17" t="s">
        <v>544</v>
      </c>
      <c r="G256" s="65">
        <v>4</v>
      </c>
      <c r="H256" s="66" t="s">
        <v>1025</v>
      </c>
      <c r="I256" s="66" t="s">
        <v>1575</v>
      </c>
      <c r="J256" s="66" t="s">
        <v>1575</v>
      </c>
      <c r="K256" s="157" t="s">
        <v>1157</v>
      </c>
      <c r="L256" s="170" t="s">
        <v>1158</v>
      </c>
      <c r="M256" s="2">
        <v>2</v>
      </c>
      <c r="N256" s="2">
        <f t="shared" si="3"/>
        <v>5</v>
      </c>
    </row>
    <row r="257" spans="1:14">
      <c r="A257" s="16">
        <v>118</v>
      </c>
      <c r="B257" s="17" t="s">
        <v>106</v>
      </c>
      <c r="C257" s="17" t="s">
        <v>761</v>
      </c>
      <c r="D257" s="17" t="s">
        <v>1640</v>
      </c>
      <c r="E257" s="68">
        <v>11</v>
      </c>
      <c r="F257" s="17" t="s">
        <v>1595</v>
      </c>
      <c r="G257" s="65">
        <v>5</v>
      </c>
      <c r="H257" s="66" t="s">
        <v>1025</v>
      </c>
      <c r="I257" s="66" t="s">
        <v>1575</v>
      </c>
      <c r="J257" s="66" t="s">
        <v>1575</v>
      </c>
      <c r="K257" s="157" t="s">
        <v>1157</v>
      </c>
      <c r="L257" s="170" t="s">
        <v>1158</v>
      </c>
      <c r="M257" s="2">
        <v>2</v>
      </c>
      <c r="N257" s="2">
        <f t="shared" si="3"/>
        <v>5</v>
      </c>
    </row>
    <row r="258" spans="1:14">
      <c r="A258" s="83">
        <v>122</v>
      </c>
      <c r="B258" s="84" t="s">
        <v>767</v>
      </c>
      <c r="C258" s="84" t="s">
        <v>766</v>
      </c>
      <c r="D258" s="84" t="s">
        <v>1553</v>
      </c>
      <c r="E258" s="68">
        <v>47</v>
      </c>
      <c r="F258" s="84" t="s">
        <v>1602</v>
      </c>
      <c r="G258" s="85">
        <v>1</v>
      </c>
      <c r="H258" s="86" t="s">
        <v>1013</v>
      </c>
      <c r="I258" s="86"/>
      <c r="J258" s="86" t="s">
        <v>1687</v>
      </c>
      <c r="K258" s="166">
        <v>0</v>
      </c>
      <c r="L258" s="167" t="s">
        <v>1158</v>
      </c>
      <c r="M258" s="2">
        <v>1</v>
      </c>
      <c r="N258" s="2">
        <f t="shared" si="3"/>
        <v>5</v>
      </c>
    </row>
    <row r="259" spans="1:14">
      <c r="A259" s="99">
        <v>122</v>
      </c>
      <c r="B259" s="100" t="s">
        <v>767</v>
      </c>
      <c r="C259" s="100" t="s">
        <v>766</v>
      </c>
      <c r="D259" s="100" t="s">
        <v>1553</v>
      </c>
      <c r="E259" s="68">
        <v>43</v>
      </c>
      <c r="F259" s="100" t="s">
        <v>1582</v>
      </c>
      <c r="G259" s="101">
        <v>2</v>
      </c>
      <c r="H259" s="102" t="s">
        <v>1013</v>
      </c>
      <c r="I259" s="102"/>
      <c r="J259" s="102" t="s">
        <v>1687</v>
      </c>
      <c r="K259" s="171">
        <v>0</v>
      </c>
      <c r="L259" s="172" t="s">
        <v>1158</v>
      </c>
      <c r="M259" s="2">
        <v>1</v>
      </c>
      <c r="N259" s="2">
        <f t="shared" ref="N259:N322" si="4">COUNTIF(A:A,A259)</f>
        <v>5</v>
      </c>
    </row>
    <row r="260" spans="1:14">
      <c r="A260" s="83">
        <v>122</v>
      </c>
      <c r="B260" s="84" t="s">
        <v>767</v>
      </c>
      <c r="C260" s="84" t="s">
        <v>766</v>
      </c>
      <c r="D260" s="84" t="s">
        <v>1553</v>
      </c>
      <c r="E260" s="68">
        <v>18</v>
      </c>
      <c r="F260" s="84" t="s">
        <v>1588</v>
      </c>
      <c r="G260" s="85">
        <v>3</v>
      </c>
      <c r="H260" s="86" t="s">
        <v>1013</v>
      </c>
      <c r="I260" s="86"/>
      <c r="J260" s="86" t="s">
        <v>1687</v>
      </c>
      <c r="K260" s="166">
        <v>0</v>
      </c>
      <c r="L260" s="167" t="s">
        <v>1158</v>
      </c>
      <c r="M260" s="2">
        <v>1</v>
      </c>
      <c r="N260" s="2">
        <f t="shared" si="4"/>
        <v>5</v>
      </c>
    </row>
    <row r="261" spans="1:14">
      <c r="A261" s="83">
        <v>122</v>
      </c>
      <c r="B261" s="84" t="s">
        <v>767</v>
      </c>
      <c r="C261" s="84" t="s">
        <v>766</v>
      </c>
      <c r="D261" s="84" t="s">
        <v>1553</v>
      </c>
      <c r="E261" s="68">
        <v>55</v>
      </c>
      <c r="F261" s="84" t="s">
        <v>1585</v>
      </c>
      <c r="G261" s="85">
        <v>4</v>
      </c>
      <c r="H261" s="86" t="s">
        <v>1013</v>
      </c>
      <c r="I261" s="86"/>
      <c r="J261" s="86" t="s">
        <v>1687</v>
      </c>
      <c r="K261" s="166">
        <v>0</v>
      </c>
      <c r="L261" s="167" t="s">
        <v>1158</v>
      </c>
      <c r="M261" s="2">
        <v>1</v>
      </c>
      <c r="N261" s="2">
        <f t="shared" si="4"/>
        <v>5</v>
      </c>
    </row>
    <row r="262" spans="1:14">
      <c r="A262" s="83">
        <v>122</v>
      </c>
      <c r="B262" s="84" t="s">
        <v>767</v>
      </c>
      <c r="C262" s="84" t="s">
        <v>766</v>
      </c>
      <c r="D262" s="84" t="s">
        <v>1553</v>
      </c>
      <c r="E262" s="68">
        <v>48</v>
      </c>
      <c r="F262" s="84" t="s">
        <v>1601</v>
      </c>
      <c r="G262" s="85">
        <v>5</v>
      </c>
      <c r="H262" s="86" t="s">
        <v>1013</v>
      </c>
      <c r="I262" s="86"/>
      <c r="J262" s="86" t="s">
        <v>1687</v>
      </c>
      <c r="K262" s="166">
        <v>0</v>
      </c>
      <c r="L262" s="167" t="s">
        <v>1158</v>
      </c>
      <c r="M262" s="2">
        <v>1</v>
      </c>
      <c r="N262" s="2">
        <f t="shared" si="4"/>
        <v>5</v>
      </c>
    </row>
    <row r="263" spans="1:14">
      <c r="A263" s="16">
        <v>123</v>
      </c>
      <c r="B263" s="17" t="s">
        <v>100</v>
      </c>
      <c r="C263" s="17" t="s">
        <v>105</v>
      </c>
      <c r="D263" s="17" t="s">
        <v>1553</v>
      </c>
      <c r="E263" s="68">
        <v>9</v>
      </c>
      <c r="F263" s="17" t="s">
        <v>537</v>
      </c>
      <c r="G263" s="65">
        <v>1</v>
      </c>
      <c r="H263" s="66" t="s">
        <v>1018</v>
      </c>
      <c r="I263" s="66"/>
      <c r="J263" s="66"/>
      <c r="K263" s="157">
        <v>0</v>
      </c>
      <c r="L263" s="170" t="s">
        <v>1056</v>
      </c>
      <c r="M263" s="2">
        <v>2</v>
      </c>
      <c r="N263" s="2">
        <f t="shared" si="4"/>
        <v>1</v>
      </c>
    </row>
    <row r="264" spans="1:14">
      <c r="A264" s="83">
        <v>124</v>
      </c>
      <c r="B264" s="84" t="s">
        <v>769</v>
      </c>
      <c r="C264" s="84" t="s">
        <v>15</v>
      </c>
      <c r="D264" s="84" t="s">
        <v>1553</v>
      </c>
      <c r="E264" s="68">
        <v>53</v>
      </c>
      <c r="F264" s="84" t="s">
        <v>562</v>
      </c>
      <c r="G264" s="85">
        <v>1</v>
      </c>
      <c r="H264" s="86" t="s">
        <v>1006</v>
      </c>
      <c r="I264" s="86" t="s">
        <v>1607</v>
      </c>
      <c r="J264" s="86" t="s">
        <v>1691</v>
      </c>
      <c r="K264" s="166" t="s">
        <v>1159</v>
      </c>
      <c r="L264" s="167">
        <v>0</v>
      </c>
      <c r="M264" s="2">
        <v>1</v>
      </c>
      <c r="N264" s="2">
        <f t="shared" si="4"/>
        <v>2</v>
      </c>
    </row>
    <row r="265" spans="1:14">
      <c r="A265" s="83">
        <v>124</v>
      </c>
      <c r="B265" s="84" t="s">
        <v>769</v>
      </c>
      <c r="C265" s="84" t="s">
        <v>15</v>
      </c>
      <c r="D265" s="84" t="s">
        <v>1553</v>
      </c>
      <c r="E265" s="68">
        <v>22</v>
      </c>
      <c r="F265" s="84" t="s">
        <v>956</v>
      </c>
      <c r="G265" s="85">
        <v>2</v>
      </c>
      <c r="H265" s="86" t="s">
        <v>1006</v>
      </c>
      <c r="I265" s="86" t="s">
        <v>1607</v>
      </c>
      <c r="J265" s="86" t="s">
        <v>1691</v>
      </c>
      <c r="K265" s="166" t="s">
        <v>1159</v>
      </c>
      <c r="L265" s="167">
        <v>0</v>
      </c>
      <c r="M265" s="2">
        <v>1</v>
      </c>
      <c r="N265" s="2">
        <f t="shared" si="4"/>
        <v>2</v>
      </c>
    </row>
    <row r="266" spans="1:14">
      <c r="A266" s="89">
        <v>125</v>
      </c>
      <c r="B266" s="90" t="s">
        <v>200</v>
      </c>
      <c r="C266" s="90" t="s">
        <v>771</v>
      </c>
      <c r="D266" s="90" t="s">
        <v>1553</v>
      </c>
      <c r="E266" s="68">
        <v>47</v>
      </c>
      <c r="F266" s="90" t="s">
        <v>1602</v>
      </c>
      <c r="G266" s="91">
        <v>1</v>
      </c>
      <c r="H266" s="92" t="s">
        <v>980</v>
      </c>
      <c r="I266" s="92"/>
      <c r="J266" s="92" t="s">
        <v>1602</v>
      </c>
      <c r="K266" s="168" t="s">
        <v>1156</v>
      </c>
      <c r="L266" s="169">
        <v>0</v>
      </c>
      <c r="M266" s="2">
        <v>2</v>
      </c>
      <c r="N266" s="2">
        <f t="shared" si="4"/>
        <v>5</v>
      </c>
    </row>
    <row r="267" spans="1:14">
      <c r="A267" s="16">
        <v>125</v>
      </c>
      <c r="B267" s="17" t="s">
        <v>200</v>
      </c>
      <c r="C267" s="17" t="s">
        <v>771</v>
      </c>
      <c r="D267" s="17" t="s">
        <v>1553</v>
      </c>
      <c r="E267" s="68">
        <v>83</v>
      </c>
      <c r="F267" s="17" t="s">
        <v>548</v>
      </c>
      <c r="G267" s="65">
        <v>2</v>
      </c>
      <c r="H267" s="66" t="s">
        <v>980</v>
      </c>
      <c r="I267" s="66"/>
      <c r="J267" s="66" t="s">
        <v>1602</v>
      </c>
      <c r="K267" s="157" t="s">
        <v>1156</v>
      </c>
      <c r="L267" s="170">
        <v>0</v>
      </c>
      <c r="M267" s="2">
        <v>2</v>
      </c>
      <c r="N267" s="2">
        <f t="shared" si="4"/>
        <v>5</v>
      </c>
    </row>
    <row r="268" spans="1:14">
      <c r="A268" s="16">
        <v>125</v>
      </c>
      <c r="B268" s="17" t="s">
        <v>200</v>
      </c>
      <c r="C268" s="17" t="s">
        <v>771</v>
      </c>
      <c r="D268" s="17" t="s">
        <v>1553</v>
      </c>
      <c r="E268" s="68">
        <v>11</v>
      </c>
      <c r="F268" s="17" t="s">
        <v>1595</v>
      </c>
      <c r="G268" s="65">
        <v>3</v>
      </c>
      <c r="H268" s="66" t="s">
        <v>980</v>
      </c>
      <c r="I268" s="66"/>
      <c r="J268" s="66" t="s">
        <v>1602</v>
      </c>
      <c r="K268" s="157" t="s">
        <v>1156</v>
      </c>
      <c r="L268" s="170">
        <v>0</v>
      </c>
      <c r="M268" s="2">
        <v>2</v>
      </c>
      <c r="N268" s="2">
        <f t="shared" si="4"/>
        <v>5</v>
      </c>
    </row>
    <row r="269" spans="1:14">
      <c r="A269" s="16">
        <v>125</v>
      </c>
      <c r="B269" s="17" t="s">
        <v>200</v>
      </c>
      <c r="C269" s="17" t="s">
        <v>771</v>
      </c>
      <c r="D269" s="17" t="s">
        <v>1553</v>
      </c>
      <c r="E269" s="68">
        <v>81</v>
      </c>
      <c r="F269" s="17" t="s">
        <v>546</v>
      </c>
      <c r="G269" s="65">
        <v>4</v>
      </c>
      <c r="H269" s="66" t="s">
        <v>980</v>
      </c>
      <c r="I269" s="66"/>
      <c r="J269" s="66" t="s">
        <v>1602</v>
      </c>
      <c r="K269" s="157" t="s">
        <v>1156</v>
      </c>
      <c r="L269" s="170">
        <v>0</v>
      </c>
      <c r="M269" s="2">
        <v>2</v>
      </c>
      <c r="N269" s="2">
        <f t="shared" si="4"/>
        <v>5</v>
      </c>
    </row>
    <row r="270" spans="1:14">
      <c r="A270" s="16">
        <v>125</v>
      </c>
      <c r="B270" s="17" t="s">
        <v>200</v>
      </c>
      <c r="C270" s="17" t="s">
        <v>771</v>
      </c>
      <c r="D270" s="17" t="s">
        <v>1553</v>
      </c>
      <c r="E270" s="68">
        <v>16</v>
      </c>
      <c r="F270" s="17" t="s">
        <v>544</v>
      </c>
      <c r="G270" s="65">
        <v>5</v>
      </c>
      <c r="H270" s="66" t="s">
        <v>980</v>
      </c>
      <c r="I270" s="66"/>
      <c r="J270" s="66" t="s">
        <v>1602</v>
      </c>
      <c r="K270" s="157" t="s">
        <v>1156</v>
      </c>
      <c r="L270" s="170">
        <v>0</v>
      </c>
      <c r="M270" s="2">
        <v>2</v>
      </c>
      <c r="N270" s="2">
        <f t="shared" si="4"/>
        <v>5</v>
      </c>
    </row>
    <row r="271" spans="1:14">
      <c r="A271" s="83">
        <v>132</v>
      </c>
      <c r="B271" s="84" t="s">
        <v>209</v>
      </c>
      <c r="C271" s="84" t="s">
        <v>208</v>
      </c>
      <c r="D271" s="84" t="s">
        <v>1553</v>
      </c>
      <c r="E271" s="68">
        <v>23</v>
      </c>
      <c r="F271" s="84" t="s">
        <v>1586</v>
      </c>
      <c r="G271" s="85">
        <v>1</v>
      </c>
      <c r="H271" s="86" t="s">
        <v>1002</v>
      </c>
      <c r="I271" s="86" t="s">
        <v>1586</v>
      </c>
      <c r="J271" s="86"/>
      <c r="K271" s="166">
        <v>0</v>
      </c>
      <c r="L271" s="167">
        <v>0</v>
      </c>
      <c r="M271" s="2">
        <v>1</v>
      </c>
      <c r="N271" s="2">
        <f t="shared" si="4"/>
        <v>4</v>
      </c>
    </row>
    <row r="272" spans="1:14">
      <c r="A272" s="83">
        <v>132</v>
      </c>
      <c r="B272" s="84" t="s">
        <v>209</v>
      </c>
      <c r="C272" s="84" t="s">
        <v>208</v>
      </c>
      <c r="D272" s="84" t="s">
        <v>1553</v>
      </c>
      <c r="E272" s="68">
        <v>97</v>
      </c>
      <c r="F272" s="84" t="s">
        <v>939</v>
      </c>
      <c r="G272" s="85">
        <v>2</v>
      </c>
      <c r="H272" s="86" t="s">
        <v>1002</v>
      </c>
      <c r="I272" s="86" t="s">
        <v>1586</v>
      </c>
      <c r="J272" s="86"/>
      <c r="K272" s="166">
        <v>0</v>
      </c>
      <c r="L272" s="167">
        <v>0</v>
      </c>
      <c r="M272" s="2">
        <v>1</v>
      </c>
      <c r="N272" s="2">
        <f t="shared" si="4"/>
        <v>4</v>
      </c>
    </row>
    <row r="273" spans="1:14">
      <c r="A273" s="99">
        <v>132</v>
      </c>
      <c r="B273" s="100" t="s">
        <v>209</v>
      </c>
      <c r="C273" s="100" t="s">
        <v>208</v>
      </c>
      <c r="D273" s="100" t="s">
        <v>1553</v>
      </c>
      <c r="E273" s="68">
        <v>10</v>
      </c>
      <c r="F273" s="100" t="s">
        <v>1596</v>
      </c>
      <c r="G273" s="101">
        <v>3</v>
      </c>
      <c r="H273" s="102" t="s">
        <v>1002</v>
      </c>
      <c r="I273" s="102" t="s">
        <v>1586</v>
      </c>
      <c r="J273" s="102"/>
      <c r="K273" s="171">
        <v>0</v>
      </c>
      <c r="L273" s="172">
        <v>0</v>
      </c>
      <c r="M273" s="2">
        <v>1</v>
      </c>
      <c r="N273" s="2">
        <f t="shared" si="4"/>
        <v>4</v>
      </c>
    </row>
    <row r="274" spans="1:14">
      <c r="A274" s="83">
        <v>132</v>
      </c>
      <c r="B274" s="84" t="s">
        <v>209</v>
      </c>
      <c r="C274" s="84" t="s">
        <v>208</v>
      </c>
      <c r="D274" s="84" t="s">
        <v>1553</v>
      </c>
      <c r="E274" s="68">
        <v>11</v>
      </c>
      <c r="F274" s="84" t="s">
        <v>1595</v>
      </c>
      <c r="G274" s="85">
        <v>4</v>
      </c>
      <c r="H274" s="86" t="s">
        <v>1002</v>
      </c>
      <c r="I274" s="86" t="s">
        <v>1586</v>
      </c>
      <c r="J274" s="86"/>
      <c r="K274" s="166">
        <v>0</v>
      </c>
      <c r="L274" s="167">
        <v>0</v>
      </c>
      <c r="M274" s="2">
        <v>1</v>
      </c>
      <c r="N274" s="2">
        <f t="shared" si="4"/>
        <v>4</v>
      </c>
    </row>
    <row r="275" spans="1:14">
      <c r="A275" s="16">
        <v>133</v>
      </c>
      <c r="B275" s="17" t="s">
        <v>293</v>
      </c>
      <c r="C275" s="17" t="s">
        <v>292</v>
      </c>
      <c r="D275" s="17" t="s">
        <v>1553</v>
      </c>
      <c r="E275" s="68">
        <v>84</v>
      </c>
      <c r="F275" s="17" t="s">
        <v>1574</v>
      </c>
      <c r="G275" s="65">
        <v>1</v>
      </c>
      <c r="H275" s="66" t="s">
        <v>1020</v>
      </c>
      <c r="I275" s="66"/>
      <c r="J275" s="66"/>
      <c r="K275" s="157">
        <v>0</v>
      </c>
      <c r="L275" s="170">
        <v>0</v>
      </c>
      <c r="M275" s="2">
        <v>2</v>
      </c>
      <c r="N275" s="2">
        <f t="shared" si="4"/>
        <v>3</v>
      </c>
    </row>
    <row r="276" spans="1:14">
      <c r="A276" s="16">
        <v>133</v>
      </c>
      <c r="B276" s="17" t="s">
        <v>293</v>
      </c>
      <c r="C276" s="17" t="s">
        <v>292</v>
      </c>
      <c r="D276" s="17" t="s">
        <v>1553</v>
      </c>
      <c r="E276" s="68">
        <v>85</v>
      </c>
      <c r="F276" s="17" t="s">
        <v>1578</v>
      </c>
      <c r="G276" s="65">
        <v>2</v>
      </c>
      <c r="H276" s="66" t="s">
        <v>1020</v>
      </c>
      <c r="I276" s="66"/>
      <c r="J276" s="66"/>
      <c r="K276" s="157">
        <v>0</v>
      </c>
      <c r="L276" s="170">
        <v>0</v>
      </c>
      <c r="M276" s="2">
        <v>2</v>
      </c>
      <c r="N276" s="2">
        <f t="shared" si="4"/>
        <v>3</v>
      </c>
    </row>
    <row r="277" spans="1:14">
      <c r="A277" s="16">
        <v>133</v>
      </c>
      <c r="B277" s="17" t="s">
        <v>293</v>
      </c>
      <c r="C277" s="17" t="s">
        <v>292</v>
      </c>
      <c r="D277" s="17" t="s">
        <v>1553</v>
      </c>
      <c r="E277" s="68">
        <v>50</v>
      </c>
      <c r="F277" s="17" t="s">
        <v>559</v>
      </c>
      <c r="G277" s="65">
        <v>3</v>
      </c>
      <c r="H277" s="66" t="s">
        <v>1020</v>
      </c>
      <c r="I277" s="66"/>
      <c r="J277" s="66"/>
      <c r="K277" s="157">
        <v>0</v>
      </c>
      <c r="L277" s="170">
        <v>0</v>
      </c>
      <c r="M277" s="2">
        <v>2</v>
      </c>
      <c r="N277" s="2">
        <f t="shared" si="4"/>
        <v>3</v>
      </c>
    </row>
    <row r="278" spans="1:14">
      <c r="A278" s="83">
        <v>135</v>
      </c>
      <c r="B278" s="84" t="s">
        <v>100</v>
      </c>
      <c r="C278" s="84" t="s">
        <v>145</v>
      </c>
      <c r="D278" s="84" t="s">
        <v>1553</v>
      </c>
      <c r="E278" s="68">
        <v>9</v>
      </c>
      <c r="F278" s="84" t="s">
        <v>537</v>
      </c>
      <c r="G278" s="85">
        <v>1</v>
      </c>
      <c r="H278" s="86" t="s">
        <v>597</v>
      </c>
      <c r="I278" s="86" t="s">
        <v>1591</v>
      </c>
      <c r="J278" s="86"/>
      <c r="K278" s="166" t="s">
        <v>1153</v>
      </c>
      <c r="L278" s="167">
        <v>0</v>
      </c>
      <c r="M278" s="2">
        <v>1</v>
      </c>
      <c r="N278" s="2">
        <f t="shared" si="4"/>
        <v>5</v>
      </c>
    </row>
    <row r="279" spans="1:14">
      <c r="A279" s="83">
        <v>135</v>
      </c>
      <c r="B279" s="84" t="s">
        <v>100</v>
      </c>
      <c r="C279" s="84" t="s">
        <v>145</v>
      </c>
      <c r="D279" s="84" t="s">
        <v>1553</v>
      </c>
      <c r="E279" s="68">
        <v>18</v>
      </c>
      <c r="F279" s="84" t="s">
        <v>1588</v>
      </c>
      <c r="G279" s="85">
        <v>2</v>
      </c>
      <c r="H279" s="86" t="s">
        <v>597</v>
      </c>
      <c r="I279" s="86" t="s">
        <v>1591</v>
      </c>
      <c r="J279" s="86"/>
      <c r="K279" s="166" t="s">
        <v>1153</v>
      </c>
      <c r="L279" s="167">
        <v>0</v>
      </c>
      <c r="M279" s="2">
        <v>1</v>
      </c>
      <c r="N279" s="2">
        <f t="shared" si="4"/>
        <v>5</v>
      </c>
    </row>
    <row r="280" spans="1:14">
      <c r="A280" s="83">
        <v>135</v>
      </c>
      <c r="B280" s="84" t="s">
        <v>100</v>
      </c>
      <c r="C280" s="84" t="s">
        <v>145</v>
      </c>
      <c r="D280" s="84" t="s">
        <v>1553</v>
      </c>
      <c r="E280" s="68">
        <v>76</v>
      </c>
      <c r="F280" s="84" t="s">
        <v>1613</v>
      </c>
      <c r="G280" s="85">
        <v>3</v>
      </c>
      <c r="H280" s="86" t="s">
        <v>597</v>
      </c>
      <c r="I280" s="86" t="s">
        <v>1591</v>
      </c>
      <c r="J280" s="86"/>
      <c r="K280" s="166" t="s">
        <v>1153</v>
      </c>
      <c r="L280" s="167">
        <v>0</v>
      </c>
      <c r="M280" s="2">
        <v>1</v>
      </c>
      <c r="N280" s="2">
        <f t="shared" si="4"/>
        <v>5</v>
      </c>
    </row>
    <row r="281" spans="1:14">
      <c r="A281" s="83">
        <v>135</v>
      </c>
      <c r="B281" s="84" t="s">
        <v>100</v>
      </c>
      <c r="C281" s="84" t="s">
        <v>145</v>
      </c>
      <c r="D281" s="84" t="s">
        <v>1553</v>
      </c>
      <c r="E281" s="68">
        <v>84</v>
      </c>
      <c r="F281" s="84" t="s">
        <v>1574</v>
      </c>
      <c r="G281" s="85">
        <v>4</v>
      </c>
      <c r="H281" s="86" t="s">
        <v>597</v>
      </c>
      <c r="I281" s="86" t="s">
        <v>1591</v>
      </c>
      <c r="J281" s="86"/>
      <c r="K281" s="166" t="s">
        <v>1153</v>
      </c>
      <c r="L281" s="167">
        <v>0</v>
      </c>
      <c r="M281" s="2">
        <v>1</v>
      </c>
      <c r="N281" s="2">
        <f t="shared" si="4"/>
        <v>5</v>
      </c>
    </row>
    <row r="282" spans="1:14">
      <c r="A282" s="83">
        <v>135</v>
      </c>
      <c r="B282" s="84" t="s">
        <v>100</v>
      </c>
      <c r="C282" s="84" t="s">
        <v>145</v>
      </c>
      <c r="D282" s="84" t="s">
        <v>1553</v>
      </c>
      <c r="E282" s="68">
        <v>49</v>
      </c>
      <c r="F282" s="84" t="s">
        <v>1591</v>
      </c>
      <c r="G282" s="85">
        <v>5</v>
      </c>
      <c r="H282" s="86" t="s">
        <v>597</v>
      </c>
      <c r="I282" s="86" t="s">
        <v>1591</v>
      </c>
      <c r="J282" s="86"/>
      <c r="K282" s="166" t="s">
        <v>1153</v>
      </c>
      <c r="L282" s="167">
        <v>0</v>
      </c>
      <c r="M282" s="2">
        <v>1</v>
      </c>
      <c r="N282" s="2">
        <f t="shared" si="4"/>
        <v>5</v>
      </c>
    </row>
    <row r="283" spans="1:14">
      <c r="A283" s="89">
        <v>137</v>
      </c>
      <c r="B283" s="90" t="s">
        <v>778</v>
      </c>
      <c r="C283" s="90" t="s">
        <v>777</v>
      </c>
      <c r="D283" s="90" t="s">
        <v>1553</v>
      </c>
      <c r="E283" s="68">
        <v>28</v>
      </c>
      <c r="F283" s="90" t="s">
        <v>570</v>
      </c>
      <c r="G283" s="91">
        <v>1</v>
      </c>
      <c r="H283" s="92" t="s">
        <v>1030</v>
      </c>
      <c r="I283" s="92"/>
      <c r="J283" s="92" t="s">
        <v>1101</v>
      </c>
      <c r="K283" s="168">
        <v>0</v>
      </c>
      <c r="L283" s="169">
        <v>0</v>
      </c>
      <c r="M283" s="2">
        <v>2</v>
      </c>
      <c r="N283" s="2">
        <f t="shared" si="4"/>
        <v>5</v>
      </c>
    </row>
    <row r="284" spans="1:14">
      <c r="A284" s="16">
        <v>137</v>
      </c>
      <c r="B284" s="17" t="s">
        <v>778</v>
      </c>
      <c r="C284" s="17" t="s">
        <v>777</v>
      </c>
      <c r="D284" s="17" t="s">
        <v>1553</v>
      </c>
      <c r="E284" s="68">
        <v>57</v>
      </c>
      <c r="F284" s="17" t="s">
        <v>1604</v>
      </c>
      <c r="G284" s="65">
        <v>2</v>
      </c>
      <c r="H284" s="66" t="s">
        <v>1030</v>
      </c>
      <c r="I284" s="66"/>
      <c r="J284" s="66" t="s">
        <v>1101</v>
      </c>
      <c r="K284" s="157">
        <v>0</v>
      </c>
      <c r="L284" s="170">
        <v>0</v>
      </c>
      <c r="M284" s="2">
        <v>2</v>
      </c>
      <c r="N284" s="2">
        <f t="shared" si="4"/>
        <v>5</v>
      </c>
    </row>
    <row r="285" spans="1:14">
      <c r="A285" s="16">
        <v>137</v>
      </c>
      <c r="B285" s="17" t="s">
        <v>778</v>
      </c>
      <c r="C285" s="17" t="s">
        <v>777</v>
      </c>
      <c r="D285" s="17" t="s">
        <v>1553</v>
      </c>
      <c r="E285" s="68">
        <v>81</v>
      </c>
      <c r="F285" s="17" t="s">
        <v>546</v>
      </c>
      <c r="G285" s="65">
        <v>3</v>
      </c>
      <c r="H285" s="66" t="s">
        <v>1030</v>
      </c>
      <c r="I285" s="66"/>
      <c r="J285" s="66" t="s">
        <v>1101</v>
      </c>
      <c r="K285" s="157">
        <v>0</v>
      </c>
      <c r="L285" s="170">
        <v>0</v>
      </c>
      <c r="M285" s="2">
        <v>2</v>
      </c>
      <c r="N285" s="2">
        <f t="shared" si="4"/>
        <v>5</v>
      </c>
    </row>
    <row r="286" spans="1:14">
      <c r="A286" s="16">
        <v>137</v>
      </c>
      <c r="B286" s="17" t="s">
        <v>778</v>
      </c>
      <c r="C286" s="17" t="s">
        <v>777</v>
      </c>
      <c r="D286" s="17" t="s">
        <v>1553</v>
      </c>
      <c r="E286" s="68">
        <v>30</v>
      </c>
      <c r="F286" s="17" t="s">
        <v>572</v>
      </c>
      <c r="G286" s="65">
        <v>4</v>
      </c>
      <c r="H286" s="66" t="s">
        <v>1030</v>
      </c>
      <c r="I286" s="66"/>
      <c r="J286" s="66" t="s">
        <v>1101</v>
      </c>
      <c r="K286" s="157">
        <v>0</v>
      </c>
      <c r="L286" s="170">
        <v>0</v>
      </c>
      <c r="M286" s="2">
        <v>2</v>
      </c>
      <c r="N286" s="2">
        <f t="shared" si="4"/>
        <v>5</v>
      </c>
    </row>
    <row r="287" spans="1:14">
      <c r="A287" s="16">
        <v>137</v>
      </c>
      <c r="B287" s="17" t="s">
        <v>778</v>
      </c>
      <c r="C287" s="17" t="s">
        <v>777</v>
      </c>
      <c r="D287" s="17" t="s">
        <v>1553</v>
      </c>
      <c r="E287" s="68">
        <v>85</v>
      </c>
      <c r="F287" s="17" t="s">
        <v>1578</v>
      </c>
      <c r="G287" s="65">
        <v>5</v>
      </c>
      <c r="H287" s="66" t="s">
        <v>1030</v>
      </c>
      <c r="I287" s="66"/>
      <c r="J287" s="66" t="s">
        <v>1101</v>
      </c>
      <c r="K287" s="157">
        <v>0</v>
      </c>
      <c r="L287" s="170">
        <v>0</v>
      </c>
      <c r="M287" s="2">
        <v>2</v>
      </c>
      <c r="N287" s="2">
        <f t="shared" si="4"/>
        <v>5</v>
      </c>
    </row>
    <row r="288" spans="1:14">
      <c r="A288" s="83">
        <v>141</v>
      </c>
      <c r="B288" s="84" t="s">
        <v>786</v>
      </c>
      <c r="C288" s="84" t="s">
        <v>785</v>
      </c>
      <c r="D288" s="84" t="s">
        <v>1553</v>
      </c>
      <c r="E288" s="68">
        <v>55</v>
      </c>
      <c r="F288" s="84" t="s">
        <v>1585</v>
      </c>
      <c r="G288" s="85">
        <v>1</v>
      </c>
      <c r="H288" s="86" t="s">
        <v>1004</v>
      </c>
      <c r="I288" s="86" t="s">
        <v>1057</v>
      </c>
      <c r="J288" s="86" t="s">
        <v>1607</v>
      </c>
      <c r="K288" s="166" t="s">
        <v>1159</v>
      </c>
      <c r="L288" s="167">
        <v>0</v>
      </c>
      <c r="M288" s="2">
        <v>1</v>
      </c>
      <c r="N288" s="2">
        <f t="shared" si="4"/>
        <v>3</v>
      </c>
    </row>
    <row r="289" spans="1:14">
      <c r="A289" s="99">
        <v>141</v>
      </c>
      <c r="B289" s="100" t="s">
        <v>786</v>
      </c>
      <c r="C289" s="100" t="s">
        <v>785</v>
      </c>
      <c r="D289" s="100" t="s">
        <v>1553</v>
      </c>
      <c r="E289" s="68">
        <v>22</v>
      </c>
      <c r="F289" s="100" t="s">
        <v>956</v>
      </c>
      <c r="G289" s="101">
        <v>2</v>
      </c>
      <c r="H289" s="102" t="s">
        <v>1004</v>
      </c>
      <c r="I289" s="102" t="s">
        <v>1057</v>
      </c>
      <c r="J289" s="102" t="s">
        <v>1607</v>
      </c>
      <c r="K289" s="171" t="s">
        <v>1159</v>
      </c>
      <c r="L289" s="172">
        <v>0</v>
      </c>
      <c r="M289" s="2">
        <v>1</v>
      </c>
      <c r="N289" s="2">
        <f t="shared" si="4"/>
        <v>3</v>
      </c>
    </row>
    <row r="290" spans="1:14">
      <c r="A290" s="83">
        <v>141</v>
      </c>
      <c r="B290" s="84" t="s">
        <v>786</v>
      </c>
      <c r="C290" s="84" t="s">
        <v>785</v>
      </c>
      <c r="D290" s="84" t="s">
        <v>1553</v>
      </c>
      <c r="E290" s="68">
        <v>18</v>
      </c>
      <c r="F290" s="84" t="s">
        <v>1588</v>
      </c>
      <c r="G290" s="85">
        <v>3</v>
      </c>
      <c r="H290" s="86" t="s">
        <v>1004</v>
      </c>
      <c r="I290" s="86" t="s">
        <v>1057</v>
      </c>
      <c r="J290" s="86" t="s">
        <v>1607</v>
      </c>
      <c r="K290" s="166" t="s">
        <v>1159</v>
      </c>
      <c r="L290" s="167">
        <v>0</v>
      </c>
      <c r="M290" s="2">
        <v>1</v>
      </c>
      <c r="N290" s="2">
        <f t="shared" si="4"/>
        <v>3</v>
      </c>
    </row>
    <row r="291" spans="1:14">
      <c r="A291" s="16">
        <v>144</v>
      </c>
      <c r="B291" s="17" t="s">
        <v>298</v>
      </c>
      <c r="C291" s="17" t="s">
        <v>297</v>
      </c>
      <c r="D291" s="17" t="s">
        <v>1553</v>
      </c>
      <c r="E291" s="68">
        <v>23</v>
      </c>
      <c r="F291" s="17" t="s">
        <v>1586</v>
      </c>
      <c r="G291" s="65">
        <v>1</v>
      </c>
      <c r="H291" s="66" t="s">
        <v>998</v>
      </c>
      <c r="I291" s="66" t="s">
        <v>1675</v>
      </c>
      <c r="J291" s="66"/>
      <c r="K291" s="157" t="s">
        <v>1156</v>
      </c>
      <c r="L291" s="170">
        <v>0</v>
      </c>
      <c r="M291" s="2">
        <v>2</v>
      </c>
      <c r="N291" s="2">
        <f t="shared" si="4"/>
        <v>3</v>
      </c>
    </row>
    <row r="292" spans="1:14">
      <c r="A292" s="16">
        <v>144</v>
      </c>
      <c r="B292" s="17" t="s">
        <v>298</v>
      </c>
      <c r="C292" s="17" t="s">
        <v>297</v>
      </c>
      <c r="D292" s="17" t="s">
        <v>1553</v>
      </c>
      <c r="E292" s="68">
        <v>56</v>
      </c>
      <c r="F292" s="17" t="s">
        <v>1610</v>
      </c>
      <c r="G292" s="65">
        <v>2</v>
      </c>
      <c r="H292" s="66" t="s">
        <v>998</v>
      </c>
      <c r="I292" s="66" t="s">
        <v>1675</v>
      </c>
      <c r="J292" s="66"/>
      <c r="K292" s="157" t="s">
        <v>1156</v>
      </c>
      <c r="L292" s="170">
        <v>0</v>
      </c>
      <c r="M292" s="2">
        <v>2</v>
      </c>
      <c r="N292" s="2">
        <f t="shared" si="4"/>
        <v>3</v>
      </c>
    </row>
    <row r="293" spans="1:14">
      <c r="A293" s="16">
        <v>144</v>
      </c>
      <c r="B293" s="17" t="s">
        <v>298</v>
      </c>
      <c r="C293" s="17" t="s">
        <v>297</v>
      </c>
      <c r="D293" s="17" t="s">
        <v>1553</v>
      </c>
      <c r="E293" s="68">
        <v>6</v>
      </c>
      <c r="F293" s="17" t="s">
        <v>1614</v>
      </c>
      <c r="G293" s="65">
        <v>3</v>
      </c>
      <c r="H293" s="66" t="s">
        <v>998</v>
      </c>
      <c r="I293" s="66" t="s">
        <v>1675</v>
      </c>
      <c r="J293" s="66"/>
      <c r="K293" s="157" t="s">
        <v>1156</v>
      </c>
      <c r="L293" s="170">
        <v>0</v>
      </c>
      <c r="M293" s="2">
        <v>2</v>
      </c>
      <c r="N293" s="2">
        <f t="shared" si="4"/>
        <v>3</v>
      </c>
    </row>
    <row r="294" spans="1:14">
      <c r="A294" s="83">
        <v>145</v>
      </c>
      <c r="B294" s="84" t="s">
        <v>210</v>
      </c>
      <c r="C294" s="84" t="s">
        <v>25</v>
      </c>
      <c r="D294" s="84" t="s">
        <v>1553</v>
      </c>
      <c r="E294" s="68">
        <v>84</v>
      </c>
      <c r="F294" s="84" t="s">
        <v>1574</v>
      </c>
      <c r="G294" s="85">
        <v>1</v>
      </c>
      <c r="H294" s="86" t="s">
        <v>601</v>
      </c>
      <c r="I294" s="86" t="s">
        <v>1574</v>
      </c>
      <c r="J294" s="86" t="s">
        <v>1103</v>
      </c>
      <c r="K294" s="166">
        <v>0</v>
      </c>
      <c r="L294" s="167" t="s">
        <v>1056</v>
      </c>
      <c r="M294" s="2">
        <v>1</v>
      </c>
      <c r="N294" s="2">
        <f t="shared" si="4"/>
        <v>5</v>
      </c>
    </row>
    <row r="295" spans="1:14">
      <c r="A295" s="83">
        <v>145</v>
      </c>
      <c r="B295" s="84" t="s">
        <v>210</v>
      </c>
      <c r="C295" s="84" t="s">
        <v>25</v>
      </c>
      <c r="D295" s="84" t="s">
        <v>1553</v>
      </c>
      <c r="E295" s="68">
        <v>81</v>
      </c>
      <c r="F295" s="84" t="s">
        <v>546</v>
      </c>
      <c r="G295" s="85">
        <v>2</v>
      </c>
      <c r="H295" s="86" t="s">
        <v>601</v>
      </c>
      <c r="I295" s="86" t="s">
        <v>1574</v>
      </c>
      <c r="J295" s="86" t="s">
        <v>1103</v>
      </c>
      <c r="K295" s="166">
        <v>0</v>
      </c>
      <c r="L295" s="167" t="s">
        <v>1056</v>
      </c>
      <c r="M295" s="2">
        <v>1</v>
      </c>
      <c r="N295" s="2">
        <f t="shared" si="4"/>
        <v>5</v>
      </c>
    </row>
    <row r="296" spans="1:14">
      <c r="A296" s="83">
        <v>145</v>
      </c>
      <c r="B296" s="84" t="s">
        <v>210</v>
      </c>
      <c r="C296" s="84" t="s">
        <v>25</v>
      </c>
      <c r="D296" s="84" t="s">
        <v>1553</v>
      </c>
      <c r="E296" s="68">
        <v>54</v>
      </c>
      <c r="F296" s="84" t="s">
        <v>1603</v>
      </c>
      <c r="G296" s="85">
        <v>3</v>
      </c>
      <c r="H296" s="86" t="s">
        <v>601</v>
      </c>
      <c r="I296" s="86" t="s">
        <v>1574</v>
      </c>
      <c r="J296" s="86" t="s">
        <v>1103</v>
      </c>
      <c r="K296" s="166">
        <v>0</v>
      </c>
      <c r="L296" s="167" t="s">
        <v>1056</v>
      </c>
      <c r="M296" s="2">
        <v>1</v>
      </c>
      <c r="N296" s="2">
        <f t="shared" si="4"/>
        <v>5</v>
      </c>
    </row>
    <row r="297" spans="1:14">
      <c r="A297" s="83">
        <v>145</v>
      </c>
      <c r="B297" s="84" t="s">
        <v>210</v>
      </c>
      <c r="C297" s="84" t="s">
        <v>25</v>
      </c>
      <c r="D297" s="84" t="s">
        <v>1553</v>
      </c>
      <c r="E297" s="68">
        <v>53</v>
      </c>
      <c r="F297" s="84" t="s">
        <v>562</v>
      </c>
      <c r="G297" s="85">
        <v>4</v>
      </c>
      <c r="H297" s="86" t="s">
        <v>601</v>
      </c>
      <c r="I297" s="86" t="s">
        <v>1574</v>
      </c>
      <c r="J297" s="86" t="s">
        <v>1103</v>
      </c>
      <c r="K297" s="166">
        <v>0</v>
      </c>
      <c r="L297" s="167" t="s">
        <v>1056</v>
      </c>
      <c r="M297" s="2">
        <v>1</v>
      </c>
      <c r="N297" s="2">
        <f t="shared" si="4"/>
        <v>5</v>
      </c>
    </row>
    <row r="298" spans="1:14">
      <c r="A298" s="83">
        <v>145</v>
      </c>
      <c r="B298" s="84" t="s">
        <v>210</v>
      </c>
      <c r="C298" s="84" t="s">
        <v>25</v>
      </c>
      <c r="D298" s="84" t="s">
        <v>1553</v>
      </c>
      <c r="E298" s="68">
        <v>85</v>
      </c>
      <c r="F298" s="84" t="s">
        <v>1578</v>
      </c>
      <c r="G298" s="85">
        <v>5</v>
      </c>
      <c r="H298" s="86" t="s">
        <v>601</v>
      </c>
      <c r="I298" s="86" t="s">
        <v>1574</v>
      </c>
      <c r="J298" s="86" t="s">
        <v>1103</v>
      </c>
      <c r="K298" s="166">
        <v>0</v>
      </c>
      <c r="L298" s="167" t="s">
        <v>1056</v>
      </c>
      <c r="M298" s="2">
        <v>1</v>
      </c>
      <c r="N298" s="2">
        <f t="shared" si="4"/>
        <v>5</v>
      </c>
    </row>
    <row r="299" spans="1:14">
      <c r="A299" s="89">
        <v>146</v>
      </c>
      <c r="B299" s="90" t="s">
        <v>182</v>
      </c>
      <c r="C299" s="90" t="s">
        <v>211</v>
      </c>
      <c r="D299" s="90" t="s">
        <v>1553</v>
      </c>
      <c r="E299" s="68">
        <v>96</v>
      </c>
      <c r="F299" s="90" t="s">
        <v>938</v>
      </c>
      <c r="G299" s="91">
        <v>1</v>
      </c>
      <c r="H299" s="92" t="s">
        <v>1016</v>
      </c>
      <c r="I299" s="92" t="s">
        <v>1104</v>
      </c>
      <c r="J299" s="92" t="s">
        <v>1067</v>
      </c>
      <c r="K299" s="168">
        <v>0</v>
      </c>
      <c r="L299" s="169">
        <v>0</v>
      </c>
      <c r="M299" s="2">
        <v>2</v>
      </c>
      <c r="N299" s="2">
        <f t="shared" si="4"/>
        <v>5</v>
      </c>
    </row>
    <row r="300" spans="1:14">
      <c r="A300" s="16">
        <v>146</v>
      </c>
      <c r="B300" s="17" t="s">
        <v>182</v>
      </c>
      <c r="C300" s="17" t="s">
        <v>211</v>
      </c>
      <c r="D300" s="17" t="s">
        <v>1553</v>
      </c>
      <c r="E300" s="68">
        <v>31</v>
      </c>
      <c r="F300" s="17" t="s">
        <v>1590</v>
      </c>
      <c r="G300" s="65">
        <v>2</v>
      </c>
      <c r="H300" s="66" t="s">
        <v>1016</v>
      </c>
      <c r="I300" s="66" t="s">
        <v>1104</v>
      </c>
      <c r="J300" s="66" t="s">
        <v>1067</v>
      </c>
      <c r="K300" s="157">
        <v>0</v>
      </c>
      <c r="L300" s="170">
        <v>0</v>
      </c>
      <c r="M300" s="2">
        <v>2</v>
      </c>
      <c r="N300" s="2">
        <f t="shared" si="4"/>
        <v>5</v>
      </c>
    </row>
    <row r="301" spans="1:14">
      <c r="A301" s="16">
        <v>146</v>
      </c>
      <c r="B301" s="17" t="s">
        <v>182</v>
      </c>
      <c r="C301" s="17" t="s">
        <v>211</v>
      </c>
      <c r="D301" s="17" t="s">
        <v>1553</v>
      </c>
      <c r="E301" s="68">
        <v>5</v>
      </c>
      <c r="F301" s="17" t="s">
        <v>1579</v>
      </c>
      <c r="G301" s="65">
        <v>3</v>
      </c>
      <c r="H301" s="66" t="s">
        <v>1016</v>
      </c>
      <c r="I301" s="66" t="s">
        <v>1104</v>
      </c>
      <c r="J301" s="66" t="s">
        <v>1067</v>
      </c>
      <c r="K301" s="157">
        <v>0</v>
      </c>
      <c r="L301" s="170">
        <v>0</v>
      </c>
      <c r="M301" s="2">
        <v>2</v>
      </c>
      <c r="N301" s="2">
        <f t="shared" si="4"/>
        <v>5</v>
      </c>
    </row>
    <row r="302" spans="1:14">
      <c r="A302" s="16">
        <v>146</v>
      </c>
      <c r="B302" s="17" t="s">
        <v>182</v>
      </c>
      <c r="C302" s="17" t="s">
        <v>211</v>
      </c>
      <c r="D302" s="17" t="s">
        <v>1553</v>
      </c>
      <c r="E302" s="68">
        <v>11</v>
      </c>
      <c r="F302" s="17" t="s">
        <v>1595</v>
      </c>
      <c r="G302" s="65">
        <v>4</v>
      </c>
      <c r="H302" s="66" t="s">
        <v>1016</v>
      </c>
      <c r="I302" s="66" t="s">
        <v>1104</v>
      </c>
      <c r="J302" s="66" t="s">
        <v>1067</v>
      </c>
      <c r="K302" s="157">
        <v>0</v>
      </c>
      <c r="L302" s="170">
        <v>0</v>
      </c>
      <c r="M302" s="2">
        <v>2</v>
      </c>
      <c r="N302" s="2">
        <f t="shared" si="4"/>
        <v>5</v>
      </c>
    </row>
    <row r="303" spans="1:14">
      <c r="A303" s="16">
        <v>146</v>
      </c>
      <c r="B303" s="17" t="s">
        <v>182</v>
      </c>
      <c r="C303" s="17" t="s">
        <v>211</v>
      </c>
      <c r="D303" s="17" t="s">
        <v>1553</v>
      </c>
      <c r="E303" s="68">
        <v>15</v>
      </c>
      <c r="F303" s="17" t="s">
        <v>543</v>
      </c>
      <c r="G303" s="65">
        <v>5</v>
      </c>
      <c r="H303" s="66" t="s">
        <v>1016</v>
      </c>
      <c r="I303" s="66" t="s">
        <v>1104</v>
      </c>
      <c r="J303" s="66" t="s">
        <v>1067</v>
      </c>
      <c r="K303" s="157">
        <v>0</v>
      </c>
      <c r="L303" s="170">
        <v>0</v>
      </c>
      <c r="M303" s="2">
        <v>2</v>
      </c>
      <c r="N303" s="2">
        <f t="shared" si="4"/>
        <v>5</v>
      </c>
    </row>
    <row r="304" spans="1:14">
      <c r="A304" s="83">
        <v>152</v>
      </c>
      <c r="B304" s="84" t="s">
        <v>795</v>
      </c>
      <c r="C304" s="84" t="s">
        <v>320</v>
      </c>
      <c r="D304" s="84" t="s">
        <v>1553</v>
      </c>
      <c r="E304" s="68">
        <v>64</v>
      </c>
      <c r="F304" s="84" t="s">
        <v>1592</v>
      </c>
      <c r="G304" s="85">
        <v>1</v>
      </c>
      <c r="H304" s="86" t="s">
        <v>1009</v>
      </c>
      <c r="I304" s="86" t="s">
        <v>943</v>
      </c>
      <c r="J304" s="86" t="s">
        <v>1592</v>
      </c>
      <c r="K304" s="166">
        <v>0</v>
      </c>
      <c r="L304" s="167" t="s">
        <v>1056</v>
      </c>
      <c r="M304" s="2">
        <v>1</v>
      </c>
      <c r="N304" s="2">
        <f t="shared" si="4"/>
        <v>5</v>
      </c>
    </row>
    <row r="305" spans="1:14">
      <c r="A305" s="99">
        <v>152</v>
      </c>
      <c r="B305" s="100" t="s">
        <v>795</v>
      </c>
      <c r="C305" s="100" t="s">
        <v>320</v>
      </c>
      <c r="D305" s="100" t="s">
        <v>1553</v>
      </c>
      <c r="E305" s="68">
        <v>65</v>
      </c>
      <c r="F305" s="100" t="s">
        <v>578</v>
      </c>
      <c r="G305" s="101">
        <v>2</v>
      </c>
      <c r="H305" s="102" t="s">
        <v>1009</v>
      </c>
      <c r="I305" s="102" t="s">
        <v>943</v>
      </c>
      <c r="J305" s="102" t="s">
        <v>1592</v>
      </c>
      <c r="K305" s="171">
        <v>0</v>
      </c>
      <c r="L305" s="172" t="s">
        <v>1056</v>
      </c>
      <c r="M305" s="2">
        <v>1</v>
      </c>
      <c r="N305" s="2">
        <f t="shared" si="4"/>
        <v>5</v>
      </c>
    </row>
    <row r="306" spans="1:14">
      <c r="A306" s="83">
        <v>152</v>
      </c>
      <c r="B306" s="84" t="s">
        <v>795</v>
      </c>
      <c r="C306" s="84" t="s">
        <v>320</v>
      </c>
      <c r="D306" s="84" t="s">
        <v>1553</v>
      </c>
      <c r="E306" s="68">
        <v>97</v>
      </c>
      <c r="F306" s="84" t="s">
        <v>939</v>
      </c>
      <c r="G306" s="85">
        <v>3</v>
      </c>
      <c r="H306" s="86" t="s">
        <v>1009</v>
      </c>
      <c r="I306" s="86" t="s">
        <v>943</v>
      </c>
      <c r="J306" s="86" t="s">
        <v>1592</v>
      </c>
      <c r="K306" s="166">
        <v>0</v>
      </c>
      <c r="L306" s="167" t="s">
        <v>1056</v>
      </c>
      <c r="M306" s="2">
        <v>1</v>
      </c>
      <c r="N306" s="2">
        <f t="shared" si="4"/>
        <v>5</v>
      </c>
    </row>
    <row r="307" spans="1:14">
      <c r="A307" s="83">
        <v>152</v>
      </c>
      <c r="B307" s="84" t="s">
        <v>795</v>
      </c>
      <c r="C307" s="84" t="s">
        <v>320</v>
      </c>
      <c r="D307" s="84" t="s">
        <v>1553</v>
      </c>
      <c r="E307" s="68">
        <v>46</v>
      </c>
      <c r="F307" s="84" t="s">
        <v>1597</v>
      </c>
      <c r="G307" s="85">
        <v>4</v>
      </c>
      <c r="H307" s="86" t="s">
        <v>1009</v>
      </c>
      <c r="I307" s="86" t="s">
        <v>943</v>
      </c>
      <c r="J307" s="86" t="s">
        <v>1592</v>
      </c>
      <c r="K307" s="166">
        <v>0</v>
      </c>
      <c r="L307" s="167" t="s">
        <v>1056</v>
      </c>
      <c r="M307" s="2">
        <v>1</v>
      </c>
      <c r="N307" s="2">
        <f t="shared" si="4"/>
        <v>5</v>
      </c>
    </row>
    <row r="308" spans="1:14">
      <c r="A308" s="83">
        <v>152</v>
      </c>
      <c r="B308" s="84" t="s">
        <v>795</v>
      </c>
      <c r="C308" s="84" t="s">
        <v>320</v>
      </c>
      <c r="D308" s="84" t="s">
        <v>1553</v>
      </c>
      <c r="E308" s="68">
        <v>45</v>
      </c>
      <c r="F308" s="84" t="s">
        <v>943</v>
      </c>
      <c r="G308" s="85">
        <v>5</v>
      </c>
      <c r="H308" s="86" t="s">
        <v>1009</v>
      </c>
      <c r="I308" s="86" t="s">
        <v>943</v>
      </c>
      <c r="J308" s="86" t="s">
        <v>1592</v>
      </c>
      <c r="K308" s="166">
        <v>0</v>
      </c>
      <c r="L308" s="167" t="s">
        <v>1056</v>
      </c>
      <c r="M308" s="2">
        <v>1</v>
      </c>
      <c r="N308" s="2">
        <f t="shared" si="4"/>
        <v>5</v>
      </c>
    </row>
    <row r="309" spans="1:14">
      <c r="A309" s="16">
        <v>155</v>
      </c>
      <c r="B309" s="17" t="s">
        <v>693</v>
      </c>
      <c r="C309" s="17" t="s">
        <v>798</v>
      </c>
      <c r="D309" s="17" t="s">
        <v>1553</v>
      </c>
      <c r="E309" s="68">
        <v>11</v>
      </c>
      <c r="F309" s="17" t="s">
        <v>1595</v>
      </c>
      <c r="G309" s="65">
        <v>1</v>
      </c>
      <c r="H309" s="66" t="s">
        <v>967</v>
      </c>
      <c r="I309" s="66" t="s">
        <v>1676</v>
      </c>
      <c r="J309" s="66"/>
      <c r="K309" s="157">
        <v>0</v>
      </c>
      <c r="L309" s="170">
        <v>0</v>
      </c>
      <c r="M309" s="2">
        <v>2</v>
      </c>
      <c r="N309" s="2">
        <f t="shared" si="4"/>
        <v>1</v>
      </c>
    </row>
    <row r="310" spans="1:14">
      <c r="A310" s="83">
        <v>156</v>
      </c>
      <c r="B310" s="84" t="s">
        <v>113</v>
      </c>
      <c r="C310" s="84" t="s">
        <v>800</v>
      </c>
      <c r="D310" s="84" t="s">
        <v>1553</v>
      </c>
      <c r="E310" s="68">
        <v>46</v>
      </c>
      <c r="F310" s="84" t="s">
        <v>1597</v>
      </c>
      <c r="G310" s="85">
        <v>1</v>
      </c>
      <c r="H310" s="86" t="s">
        <v>994</v>
      </c>
      <c r="I310" s="86"/>
      <c r="J310" s="86"/>
      <c r="K310" s="166">
        <v>0</v>
      </c>
      <c r="L310" s="167" t="s">
        <v>1158</v>
      </c>
      <c r="M310" s="2">
        <v>1</v>
      </c>
      <c r="N310" s="2">
        <f t="shared" si="4"/>
        <v>3</v>
      </c>
    </row>
    <row r="311" spans="1:14">
      <c r="A311" s="99">
        <v>156</v>
      </c>
      <c r="B311" s="100" t="s">
        <v>113</v>
      </c>
      <c r="C311" s="100" t="s">
        <v>800</v>
      </c>
      <c r="D311" s="100" t="s">
        <v>1553</v>
      </c>
      <c r="E311" s="68">
        <v>47</v>
      </c>
      <c r="F311" s="100" t="s">
        <v>1602</v>
      </c>
      <c r="G311" s="101">
        <v>2</v>
      </c>
      <c r="H311" s="102" t="s">
        <v>994</v>
      </c>
      <c r="I311" s="102"/>
      <c r="J311" s="102"/>
      <c r="K311" s="171">
        <v>0</v>
      </c>
      <c r="L311" s="172" t="s">
        <v>1158</v>
      </c>
      <c r="M311" s="2">
        <v>1</v>
      </c>
      <c r="N311" s="2">
        <f t="shared" si="4"/>
        <v>3</v>
      </c>
    </row>
    <row r="312" spans="1:14">
      <c r="A312" s="83">
        <v>156</v>
      </c>
      <c r="B312" s="84" t="s">
        <v>113</v>
      </c>
      <c r="C312" s="84" t="s">
        <v>800</v>
      </c>
      <c r="D312" s="84" t="s">
        <v>1553</v>
      </c>
      <c r="E312" s="68">
        <v>43</v>
      </c>
      <c r="F312" s="84" t="s">
        <v>1582</v>
      </c>
      <c r="G312" s="85">
        <v>3</v>
      </c>
      <c r="H312" s="86" t="s">
        <v>994</v>
      </c>
      <c r="I312" s="86"/>
      <c r="J312" s="86"/>
      <c r="K312" s="166">
        <v>0</v>
      </c>
      <c r="L312" s="167" t="s">
        <v>1158</v>
      </c>
      <c r="M312" s="2">
        <v>1</v>
      </c>
      <c r="N312" s="2">
        <f t="shared" si="4"/>
        <v>3</v>
      </c>
    </row>
    <row r="313" spans="1:14">
      <c r="A313" s="16">
        <v>161</v>
      </c>
      <c r="B313" s="17" t="s">
        <v>304</v>
      </c>
      <c r="C313" s="17" t="s">
        <v>303</v>
      </c>
      <c r="D313" s="17" t="s">
        <v>1553</v>
      </c>
      <c r="E313" s="68">
        <v>53</v>
      </c>
      <c r="F313" s="17" t="s">
        <v>562</v>
      </c>
      <c r="G313" s="65">
        <v>1</v>
      </c>
      <c r="H313" s="66" t="s">
        <v>587</v>
      </c>
      <c r="I313" s="66" t="s">
        <v>562</v>
      </c>
      <c r="J313" s="66" t="s">
        <v>562</v>
      </c>
      <c r="K313" s="157">
        <v>0</v>
      </c>
      <c r="L313" s="170" t="s">
        <v>1040</v>
      </c>
      <c r="M313" s="2">
        <v>2</v>
      </c>
      <c r="N313" s="2">
        <f t="shared" si="4"/>
        <v>3</v>
      </c>
    </row>
    <row r="314" spans="1:14">
      <c r="A314" s="16">
        <v>161</v>
      </c>
      <c r="B314" s="17" t="s">
        <v>304</v>
      </c>
      <c r="C314" s="17" t="s">
        <v>303</v>
      </c>
      <c r="D314" s="17" t="s">
        <v>1553</v>
      </c>
      <c r="E314" s="68">
        <v>38</v>
      </c>
      <c r="F314" s="17" t="s">
        <v>1577</v>
      </c>
      <c r="G314" s="65">
        <v>2</v>
      </c>
      <c r="H314" s="66" t="s">
        <v>587</v>
      </c>
      <c r="I314" s="66" t="s">
        <v>562</v>
      </c>
      <c r="J314" s="66" t="s">
        <v>562</v>
      </c>
      <c r="K314" s="157">
        <v>0</v>
      </c>
      <c r="L314" s="170" t="s">
        <v>1040</v>
      </c>
      <c r="M314" s="2">
        <v>2</v>
      </c>
      <c r="N314" s="2">
        <f t="shared" si="4"/>
        <v>3</v>
      </c>
    </row>
    <row r="315" spans="1:14">
      <c r="A315" s="16">
        <v>161</v>
      </c>
      <c r="B315" s="17" t="s">
        <v>304</v>
      </c>
      <c r="C315" s="17" t="s">
        <v>303</v>
      </c>
      <c r="D315" s="17" t="s">
        <v>1553</v>
      </c>
      <c r="E315" s="68">
        <v>11</v>
      </c>
      <c r="F315" s="17" t="s">
        <v>1595</v>
      </c>
      <c r="G315" s="65">
        <v>3</v>
      </c>
      <c r="H315" s="66" t="s">
        <v>587</v>
      </c>
      <c r="I315" s="66" t="s">
        <v>562</v>
      </c>
      <c r="J315" s="66" t="s">
        <v>562</v>
      </c>
      <c r="K315" s="157">
        <v>0</v>
      </c>
      <c r="L315" s="170" t="s">
        <v>1040</v>
      </c>
      <c r="M315" s="2">
        <v>2</v>
      </c>
      <c r="N315" s="2">
        <f t="shared" si="4"/>
        <v>3</v>
      </c>
    </row>
    <row r="316" spans="1:14">
      <c r="A316" s="83">
        <v>163</v>
      </c>
      <c r="B316" s="84" t="s">
        <v>282</v>
      </c>
      <c r="C316" s="84" t="s">
        <v>802</v>
      </c>
      <c r="D316" s="84" t="s">
        <v>1561</v>
      </c>
      <c r="E316" s="68">
        <v>31</v>
      </c>
      <c r="F316" s="84" t="s">
        <v>1590</v>
      </c>
      <c r="G316" s="85">
        <v>1</v>
      </c>
      <c r="H316" s="86" t="s">
        <v>1035</v>
      </c>
      <c r="I316" s="86"/>
      <c r="J316" s="86"/>
      <c r="K316" s="166">
        <v>0</v>
      </c>
      <c r="L316" s="167">
        <v>0</v>
      </c>
      <c r="M316" s="2">
        <v>1</v>
      </c>
      <c r="N316" s="2">
        <f t="shared" si="4"/>
        <v>2</v>
      </c>
    </row>
    <row r="317" spans="1:14">
      <c r="A317" s="83">
        <v>163</v>
      </c>
      <c r="B317" s="84" t="s">
        <v>282</v>
      </c>
      <c r="C317" s="84" t="s">
        <v>802</v>
      </c>
      <c r="D317" s="84" t="s">
        <v>1561</v>
      </c>
      <c r="E317" s="68">
        <v>54</v>
      </c>
      <c r="F317" s="84" t="s">
        <v>1603</v>
      </c>
      <c r="G317" s="85">
        <v>2</v>
      </c>
      <c r="H317" s="86" t="s">
        <v>1035</v>
      </c>
      <c r="I317" s="86"/>
      <c r="J317" s="86"/>
      <c r="K317" s="166">
        <v>0</v>
      </c>
      <c r="L317" s="167">
        <v>0</v>
      </c>
      <c r="M317" s="2">
        <v>1</v>
      </c>
      <c r="N317" s="2">
        <f t="shared" si="4"/>
        <v>2</v>
      </c>
    </row>
    <row r="318" spans="1:14">
      <c r="A318" s="89">
        <v>164</v>
      </c>
      <c r="B318" s="90" t="s">
        <v>340</v>
      </c>
      <c r="C318" s="90" t="s">
        <v>339</v>
      </c>
      <c r="D318" s="90" t="s">
        <v>1561</v>
      </c>
      <c r="E318" s="68">
        <v>11</v>
      </c>
      <c r="F318" s="90" t="s">
        <v>1595</v>
      </c>
      <c r="G318" s="91">
        <v>1</v>
      </c>
      <c r="H318" s="92" t="s">
        <v>968</v>
      </c>
      <c r="I318" s="92" t="s">
        <v>537</v>
      </c>
      <c r="J318" s="92"/>
      <c r="K318" s="168">
        <v>0</v>
      </c>
      <c r="L318" s="169">
        <v>0</v>
      </c>
      <c r="M318" s="2">
        <v>2</v>
      </c>
      <c r="N318" s="2">
        <f t="shared" si="4"/>
        <v>5</v>
      </c>
    </row>
    <row r="319" spans="1:14">
      <c r="A319" s="16">
        <v>164</v>
      </c>
      <c r="B319" s="17" t="s">
        <v>340</v>
      </c>
      <c r="C319" s="17" t="s">
        <v>339</v>
      </c>
      <c r="D319" s="17" t="s">
        <v>1561</v>
      </c>
      <c r="E319" s="68">
        <v>85</v>
      </c>
      <c r="F319" s="17" t="s">
        <v>1578</v>
      </c>
      <c r="G319" s="65">
        <v>2</v>
      </c>
      <c r="H319" s="66" t="s">
        <v>968</v>
      </c>
      <c r="I319" s="66" t="s">
        <v>537</v>
      </c>
      <c r="J319" s="66"/>
      <c r="K319" s="157">
        <v>0</v>
      </c>
      <c r="L319" s="170">
        <v>0</v>
      </c>
      <c r="M319" s="2">
        <v>2</v>
      </c>
      <c r="N319" s="2">
        <f t="shared" si="4"/>
        <v>5</v>
      </c>
    </row>
    <row r="320" spans="1:14">
      <c r="A320" s="16">
        <v>164</v>
      </c>
      <c r="B320" s="17" t="s">
        <v>340</v>
      </c>
      <c r="C320" s="17" t="s">
        <v>339</v>
      </c>
      <c r="D320" s="17" t="s">
        <v>1561</v>
      </c>
      <c r="E320" s="68">
        <v>54</v>
      </c>
      <c r="F320" s="17" t="s">
        <v>1603</v>
      </c>
      <c r="G320" s="65">
        <v>3</v>
      </c>
      <c r="H320" s="66" t="s">
        <v>968</v>
      </c>
      <c r="I320" s="66" t="s">
        <v>537</v>
      </c>
      <c r="J320" s="66"/>
      <c r="K320" s="157">
        <v>0</v>
      </c>
      <c r="L320" s="170">
        <v>0</v>
      </c>
      <c r="M320" s="2">
        <v>2</v>
      </c>
      <c r="N320" s="2">
        <f t="shared" si="4"/>
        <v>5</v>
      </c>
    </row>
    <row r="321" spans="1:14">
      <c r="A321" s="16">
        <v>164</v>
      </c>
      <c r="B321" s="17" t="s">
        <v>340</v>
      </c>
      <c r="C321" s="17" t="s">
        <v>339</v>
      </c>
      <c r="D321" s="17" t="s">
        <v>1561</v>
      </c>
      <c r="E321" s="68">
        <v>24</v>
      </c>
      <c r="F321" s="17" t="s">
        <v>951</v>
      </c>
      <c r="G321" s="65">
        <v>4</v>
      </c>
      <c r="H321" s="66" t="s">
        <v>968</v>
      </c>
      <c r="I321" s="66" t="s">
        <v>537</v>
      </c>
      <c r="J321" s="66"/>
      <c r="K321" s="157">
        <v>0</v>
      </c>
      <c r="L321" s="170">
        <v>0</v>
      </c>
      <c r="M321" s="2">
        <v>2</v>
      </c>
      <c r="N321" s="2">
        <f t="shared" si="4"/>
        <v>5</v>
      </c>
    </row>
    <row r="322" spans="1:14">
      <c r="A322" s="89">
        <v>164</v>
      </c>
      <c r="B322" s="90" t="s">
        <v>340</v>
      </c>
      <c r="C322" s="90" t="s">
        <v>339</v>
      </c>
      <c r="D322" s="90" t="s">
        <v>1561</v>
      </c>
      <c r="E322" s="68">
        <v>32</v>
      </c>
      <c r="F322" s="90" t="s">
        <v>549</v>
      </c>
      <c r="G322" s="91">
        <v>5</v>
      </c>
      <c r="H322" s="92" t="s">
        <v>968</v>
      </c>
      <c r="I322" s="92" t="s">
        <v>537</v>
      </c>
      <c r="J322" s="92"/>
      <c r="K322" s="168">
        <v>0</v>
      </c>
      <c r="L322" s="169">
        <v>0</v>
      </c>
      <c r="M322" s="2">
        <v>2</v>
      </c>
      <c r="N322" s="2">
        <f t="shared" si="4"/>
        <v>5</v>
      </c>
    </row>
    <row r="323" spans="1:14">
      <c r="A323" s="83">
        <v>168</v>
      </c>
      <c r="B323" s="84" t="s">
        <v>306</v>
      </c>
      <c r="C323" s="84" t="s">
        <v>807</v>
      </c>
      <c r="D323" s="84" t="s">
        <v>1561</v>
      </c>
      <c r="E323" s="68">
        <v>84</v>
      </c>
      <c r="F323" s="84" t="s">
        <v>1574</v>
      </c>
      <c r="G323" s="85">
        <v>1</v>
      </c>
      <c r="H323" s="86" t="s">
        <v>975</v>
      </c>
      <c r="I323" s="86"/>
      <c r="J323" s="86" t="s">
        <v>1692</v>
      </c>
      <c r="K323" s="166">
        <v>0</v>
      </c>
      <c r="L323" s="167">
        <v>0</v>
      </c>
      <c r="M323" s="2">
        <v>1</v>
      </c>
      <c r="N323" s="2">
        <f t="shared" ref="N323:N386" si="5">COUNTIF(A:A,A323)</f>
        <v>3</v>
      </c>
    </row>
    <row r="324" spans="1:14">
      <c r="A324" s="83">
        <v>168</v>
      </c>
      <c r="B324" s="84" t="s">
        <v>306</v>
      </c>
      <c r="C324" s="84" t="s">
        <v>807</v>
      </c>
      <c r="D324" s="84" t="s">
        <v>1561</v>
      </c>
      <c r="E324" s="68">
        <v>85</v>
      </c>
      <c r="F324" s="84" t="s">
        <v>1578</v>
      </c>
      <c r="G324" s="85">
        <v>2</v>
      </c>
      <c r="H324" s="86" t="s">
        <v>975</v>
      </c>
      <c r="I324" s="86"/>
      <c r="J324" s="86" t="s">
        <v>1692</v>
      </c>
      <c r="K324" s="166">
        <v>0</v>
      </c>
      <c r="L324" s="167">
        <v>0</v>
      </c>
      <c r="M324" s="2">
        <v>1</v>
      </c>
      <c r="N324" s="2">
        <f t="shared" si="5"/>
        <v>3</v>
      </c>
    </row>
    <row r="325" spans="1:14">
      <c r="A325" s="83">
        <v>168</v>
      </c>
      <c r="B325" s="84" t="s">
        <v>306</v>
      </c>
      <c r="C325" s="84" t="s">
        <v>807</v>
      </c>
      <c r="D325" s="84" t="s">
        <v>1561</v>
      </c>
      <c r="E325" s="68">
        <v>81</v>
      </c>
      <c r="F325" s="84" t="s">
        <v>546</v>
      </c>
      <c r="G325" s="85">
        <v>3</v>
      </c>
      <c r="H325" s="86" t="s">
        <v>975</v>
      </c>
      <c r="I325" s="86"/>
      <c r="J325" s="86" t="s">
        <v>1692</v>
      </c>
      <c r="K325" s="166">
        <v>0</v>
      </c>
      <c r="L325" s="167">
        <v>0</v>
      </c>
      <c r="M325" s="2">
        <v>1</v>
      </c>
      <c r="N325" s="2">
        <f t="shared" si="5"/>
        <v>3</v>
      </c>
    </row>
    <row r="326" spans="1:14">
      <c r="A326" s="16">
        <v>169</v>
      </c>
      <c r="B326" s="17" t="s">
        <v>1111</v>
      </c>
      <c r="C326" s="17" t="s">
        <v>809</v>
      </c>
      <c r="D326" s="17" t="s">
        <v>1561</v>
      </c>
      <c r="E326" s="68">
        <v>55</v>
      </c>
      <c r="F326" s="17" t="s">
        <v>1585</v>
      </c>
      <c r="G326" s="65">
        <v>1</v>
      </c>
      <c r="H326" s="66" t="s">
        <v>987</v>
      </c>
      <c r="I326" s="66" t="s">
        <v>1585</v>
      </c>
      <c r="J326" s="66" t="s">
        <v>1585</v>
      </c>
      <c r="K326" s="157" t="s">
        <v>1159</v>
      </c>
      <c r="L326" s="170">
        <v>0</v>
      </c>
      <c r="M326" s="2">
        <v>2</v>
      </c>
      <c r="N326" s="2">
        <f t="shared" si="5"/>
        <v>1</v>
      </c>
    </row>
    <row r="327" spans="1:14">
      <c r="A327" s="83">
        <v>172</v>
      </c>
      <c r="B327" s="84" t="s">
        <v>310</v>
      </c>
      <c r="C327" s="84" t="s">
        <v>155</v>
      </c>
      <c r="D327" s="84" t="s">
        <v>1641</v>
      </c>
      <c r="E327" s="68">
        <v>92</v>
      </c>
      <c r="F327" s="84" t="s">
        <v>531</v>
      </c>
      <c r="G327" s="85">
        <v>1</v>
      </c>
      <c r="H327" s="86" t="s">
        <v>969</v>
      </c>
      <c r="I327" s="86" t="s">
        <v>953</v>
      </c>
      <c r="J327" s="86" t="s">
        <v>531</v>
      </c>
      <c r="K327" s="166">
        <v>0</v>
      </c>
      <c r="L327" s="167">
        <v>0</v>
      </c>
      <c r="M327" s="2">
        <v>1</v>
      </c>
      <c r="N327" s="2">
        <f t="shared" si="5"/>
        <v>5</v>
      </c>
    </row>
    <row r="328" spans="1:14">
      <c r="A328" s="83">
        <v>172</v>
      </c>
      <c r="B328" s="84" t="s">
        <v>310</v>
      </c>
      <c r="C328" s="84" t="s">
        <v>155</v>
      </c>
      <c r="D328" s="84" t="s">
        <v>1641</v>
      </c>
      <c r="E328" s="68">
        <v>9</v>
      </c>
      <c r="F328" s="84" t="s">
        <v>537</v>
      </c>
      <c r="G328" s="85">
        <v>2</v>
      </c>
      <c r="H328" s="86" t="s">
        <v>969</v>
      </c>
      <c r="I328" s="86" t="s">
        <v>953</v>
      </c>
      <c r="J328" s="86" t="s">
        <v>531</v>
      </c>
      <c r="K328" s="166">
        <v>0</v>
      </c>
      <c r="L328" s="167">
        <v>0</v>
      </c>
      <c r="M328" s="2">
        <v>1</v>
      </c>
      <c r="N328" s="2">
        <f t="shared" si="5"/>
        <v>5</v>
      </c>
    </row>
    <row r="329" spans="1:14">
      <c r="A329" s="83">
        <v>172</v>
      </c>
      <c r="B329" s="84" t="s">
        <v>310</v>
      </c>
      <c r="C329" s="84" t="s">
        <v>155</v>
      </c>
      <c r="D329" s="84" t="s">
        <v>1641</v>
      </c>
      <c r="E329" s="68">
        <v>22</v>
      </c>
      <c r="F329" s="84" t="s">
        <v>956</v>
      </c>
      <c r="G329" s="85">
        <v>3</v>
      </c>
      <c r="H329" s="86" t="s">
        <v>969</v>
      </c>
      <c r="I329" s="86" t="s">
        <v>953</v>
      </c>
      <c r="J329" s="86" t="s">
        <v>531</v>
      </c>
      <c r="K329" s="166">
        <v>0</v>
      </c>
      <c r="L329" s="167">
        <v>0</v>
      </c>
      <c r="M329" s="2">
        <v>1</v>
      </c>
      <c r="N329" s="2">
        <f t="shared" si="5"/>
        <v>5</v>
      </c>
    </row>
    <row r="330" spans="1:14">
      <c r="A330" s="83">
        <v>172</v>
      </c>
      <c r="B330" s="84" t="s">
        <v>310</v>
      </c>
      <c r="C330" s="84" t="s">
        <v>155</v>
      </c>
      <c r="D330" s="84" t="s">
        <v>1641</v>
      </c>
      <c r="E330" s="68">
        <v>28</v>
      </c>
      <c r="F330" s="84" t="s">
        <v>570</v>
      </c>
      <c r="G330" s="85">
        <v>4</v>
      </c>
      <c r="H330" s="86" t="s">
        <v>969</v>
      </c>
      <c r="I330" s="86" t="s">
        <v>953</v>
      </c>
      <c r="J330" s="86" t="s">
        <v>531</v>
      </c>
      <c r="K330" s="166">
        <v>0</v>
      </c>
      <c r="L330" s="167">
        <v>0</v>
      </c>
      <c r="M330" s="2">
        <v>1</v>
      </c>
      <c r="N330" s="2">
        <f t="shared" si="5"/>
        <v>5</v>
      </c>
    </row>
    <row r="331" spans="1:14">
      <c r="A331" s="83">
        <v>172</v>
      </c>
      <c r="B331" s="84" t="s">
        <v>310</v>
      </c>
      <c r="C331" s="84" t="s">
        <v>155</v>
      </c>
      <c r="D331" s="84" t="s">
        <v>1641</v>
      </c>
      <c r="E331" s="68">
        <v>55</v>
      </c>
      <c r="F331" s="84" t="s">
        <v>1585</v>
      </c>
      <c r="G331" s="85">
        <v>5</v>
      </c>
      <c r="H331" s="86" t="s">
        <v>969</v>
      </c>
      <c r="I331" s="86" t="s">
        <v>953</v>
      </c>
      <c r="J331" s="86" t="s">
        <v>531</v>
      </c>
      <c r="K331" s="166">
        <v>0</v>
      </c>
      <c r="L331" s="167">
        <v>0</v>
      </c>
      <c r="M331" s="2">
        <v>1</v>
      </c>
      <c r="N331" s="2">
        <f t="shared" si="5"/>
        <v>5</v>
      </c>
    </row>
    <row r="332" spans="1:14">
      <c r="A332" s="16">
        <v>173</v>
      </c>
      <c r="B332" s="17" t="s">
        <v>812</v>
      </c>
      <c r="C332" s="17" t="s">
        <v>811</v>
      </c>
      <c r="D332" s="17" t="s">
        <v>1641</v>
      </c>
      <c r="E332" s="68">
        <v>81</v>
      </c>
      <c r="F332" s="17" t="s">
        <v>546</v>
      </c>
      <c r="G332" s="65">
        <v>1</v>
      </c>
      <c r="H332" s="66" t="s">
        <v>589</v>
      </c>
      <c r="I332" s="66" t="s">
        <v>1068</v>
      </c>
      <c r="J332" s="66" t="s">
        <v>1112</v>
      </c>
      <c r="K332" s="157">
        <v>0</v>
      </c>
      <c r="L332" s="170">
        <v>0</v>
      </c>
      <c r="M332" s="2">
        <v>2</v>
      </c>
      <c r="N332" s="2">
        <f t="shared" si="5"/>
        <v>6</v>
      </c>
    </row>
    <row r="333" spans="1:14">
      <c r="A333" s="89">
        <v>173</v>
      </c>
      <c r="B333" s="90" t="s">
        <v>812</v>
      </c>
      <c r="C333" s="90" t="s">
        <v>811</v>
      </c>
      <c r="D333" s="90" t="s">
        <v>1641</v>
      </c>
      <c r="E333" s="68">
        <v>8</v>
      </c>
      <c r="F333" s="90" t="s">
        <v>565</v>
      </c>
      <c r="G333" s="91">
        <v>2</v>
      </c>
      <c r="H333" s="92" t="s">
        <v>589</v>
      </c>
      <c r="I333" s="92" t="s">
        <v>1068</v>
      </c>
      <c r="J333" s="92" t="s">
        <v>1112</v>
      </c>
      <c r="K333" s="168">
        <v>0</v>
      </c>
      <c r="L333" s="169">
        <v>0</v>
      </c>
      <c r="M333" s="2">
        <v>2</v>
      </c>
      <c r="N333" s="2">
        <f t="shared" si="5"/>
        <v>6</v>
      </c>
    </row>
    <row r="334" spans="1:14">
      <c r="A334" s="16">
        <v>173</v>
      </c>
      <c r="B334" s="17" t="s">
        <v>812</v>
      </c>
      <c r="C334" s="17" t="s">
        <v>811</v>
      </c>
      <c r="D334" s="17" t="s">
        <v>1641</v>
      </c>
      <c r="E334" s="68">
        <v>19</v>
      </c>
      <c r="F334" s="17" t="s">
        <v>615</v>
      </c>
      <c r="G334" s="65">
        <v>3</v>
      </c>
      <c r="H334" s="66" t="s">
        <v>589</v>
      </c>
      <c r="I334" s="66" t="s">
        <v>1068</v>
      </c>
      <c r="J334" s="66" t="s">
        <v>1112</v>
      </c>
      <c r="K334" s="157">
        <v>0</v>
      </c>
      <c r="L334" s="170">
        <v>0</v>
      </c>
      <c r="M334" s="2">
        <v>2</v>
      </c>
      <c r="N334" s="2">
        <f t="shared" si="5"/>
        <v>6</v>
      </c>
    </row>
    <row r="335" spans="1:14">
      <c r="A335" s="89">
        <v>173</v>
      </c>
      <c r="B335" s="90" t="s">
        <v>812</v>
      </c>
      <c r="C335" s="90" t="s">
        <v>811</v>
      </c>
      <c r="D335" s="90" t="s">
        <v>1641</v>
      </c>
      <c r="E335" s="68">
        <v>10</v>
      </c>
      <c r="F335" s="90" t="s">
        <v>1596</v>
      </c>
      <c r="G335" s="91">
        <v>4</v>
      </c>
      <c r="H335" s="92" t="s">
        <v>589</v>
      </c>
      <c r="I335" s="92" t="s">
        <v>1068</v>
      </c>
      <c r="J335" s="92" t="s">
        <v>1112</v>
      </c>
      <c r="K335" s="168">
        <v>0</v>
      </c>
      <c r="L335" s="169">
        <v>0</v>
      </c>
      <c r="M335" s="2">
        <v>2</v>
      </c>
      <c r="N335" s="2">
        <f t="shared" si="5"/>
        <v>6</v>
      </c>
    </row>
    <row r="336" spans="1:14">
      <c r="A336" s="16">
        <v>173</v>
      </c>
      <c r="B336" s="17" t="s">
        <v>812</v>
      </c>
      <c r="C336" s="17" t="s">
        <v>811</v>
      </c>
      <c r="D336" s="17" t="s">
        <v>1641</v>
      </c>
      <c r="E336" s="68">
        <v>22</v>
      </c>
      <c r="F336" s="17" t="s">
        <v>956</v>
      </c>
      <c r="G336" s="65">
        <v>5</v>
      </c>
      <c r="H336" s="66" t="s">
        <v>589</v>
      </c>
      <c r="I336" s="66" t="s">
        <v>1068</v>
      </c>
      <c r="J336" s="66" t="s">
        <v>1112</v>
      </c>
      <c r="K336" s="157">
        <v>0</v>
      </c>
      <c r="L336" s="170">
        <v>0</v>
      </c>
      <c r="M336" s="2">
        <v>2</v>
      </c>
      <c r="N336" s="2">
        <f t="shared" si="5"/>
        <v>6</v>
      </c>
    </row>
    <row r="337" spans="1:14">
      <c r="A337" s="16">
        <v>173</v>
      </c>
      <c r="B337" s="17" t="s">
        <v>812</v>
      </c>
      <c r="C337" s="17" t="s">
        <v>811</v>
      </c>
      <c r="D337" s="17" t="s">
        <v>1641</v>
      </c>
      <c r="E337" s="68">
        <v>53</v>
      </c>
      <c r="F337" s="17" t="s">
        <v>562</v>
      </c>
      <c r="G337" s="65">
        <v>6</v>
      </c>
      <c r="H337" s="66" t="s">
        <v>589</v>
      </c>
      <c r="I337" s="66" t="s">
        <v>1068</v>
      </c>
      <c r="J337" s="66" t="s">
        <v>1112</v>
      </c>
      <c r="K337" s="157">
        <v>0</v>
      </c>
      <c r="L337" s="170">
        <v>0</v>
      </c>
      <c r="M337" s="2">
        <v>2</v>
      </c>
      <c r="N337" s="2">
        <f t="shared" si="5"/>
        <v>6</v>
      </c>
    </row>
    <row r="338" spans="1:14">
      <c r="A338" s="83">
        <v>177</v>
      </c>
      <c r="B338" s="84" t="s">
        <v>820</v>
      </c>
      <c r="C338" s="84" t="s">
        <v>819</v>
      </c>
      <c r="D338" s="84" t="s">
        <v>1642</v>
      </c>
      <c r="E338" s="68">
        <v>92</v>
      </c>
      <c r="F338" s="84" t="s">
        <v>531</v>
      </c>
      <c r="G338" s="85">
        <v>1</v>
      </c>
      <c r="H338" s="86" t="s">
        <v>997</v>
      </c>
      <c r="I338" s="86" t="s">
        <v>1677</v>
      </c>
      <c r="J338" s="86" t="s">
        <v>531</v>
      </c>
      <c r="K338" s="166">
        <v>0</v>
      </c>
      <c r="L338" s="167">
        <v>0</v>
      </c>
      <c r="M338" s="2">
        <v>1</v>
      </c>
      <c r="N338" s="2">
        <f t="shared" si="5"/>
        <v>1</v>
      </c>
    </row>
    <row r="339" spans="1:14" ht="22.5">
      <c r="A339" s="16">
        <v>178</v>
      </c>
      <c r="B339" s="17" t="s">
        <v>822</v>
      </c>
      <c r="C339" s="17" t="s">
        <v>115</v>
      </c>
      <c r="D339" s="17" t="s">
        <v>1642</v>
      </c>
      <c r="E339" s="81">
        <v>9</v>
      </c>
      <c r="F339" s="17" t="s">
        <v>537</v>
      </c>
      <c r="G339" s="65">
        <v>1</v>
      </c>
      <c r="H339" s="66" t="s">
        <v>596</v>
      </c>
      <c r="I339" s="66"/>
      <c r="J339" s="70" t="s">
        <v>1693</v>
      </c>
      <c r="K339" s="157"/>
      <c r="L339" s="170"/>
      <c r="M339" s="2">
        <v>2</v>
      </c>
      <c r="N339" s="2">
        <f t="shared" si="5"/>
        <v>1</v>
      </c>
    </row>
    <row r="340" spans="1:14">
      <c r="A340" s="83">
        <v>179</v>
      </c>
      <c r="B340" s="84" t="s">
        <v>825</v>
      </c>
      <c r="C340" s="84" t="s">
        <v>824</v>
      </c>
      <c r="D340" s="84" t="s">
        <v>1643</v>
      </c>
      <c r="E340" s="68">
        <v>28</v>
      </c>
      <c r="F340" s="84" t="s">
        <v>570</v>
      </c>
      <c r="G340" s="85">
        <v>1</v>
      </c>
      <c r="H340" s="86" t="s">
        <v>587</v>
      </c>
      <c r="I340" s="86"/>
      <c r="J340" s="86" t="s">
        <v>1694</v>
      </c>
      <c r="K340" s="166">
        <v>0</v>
      </c>
      <c r="L340" s="167">
        <v>0</v>
      </c>
      <c r="M340" s="2">
        <v>1</v>
      </c>
      <c r="N340" s="2">
        <f t="shared" si="5"/>
        <v>3</v>
      </c>
    </row>
    <row r="341" spans="1:14">
      <c r="A341" s="83">
        <v>179</v>
      </c>
      <c r="B341" s="84" t="s">
        <v>825</v>
      </c>
      <c r="C341" s="84" t="s">
        <v>824</v>
      </c>
      <c r="D341" s="84" t="s">
        <v>1643</v>
      </c>
      <c r="E341" s="68">
        <v>46</v>
      </c>
      <c r="F341" s="84" t="s">
        <v>1597</v>
      </c>
      <c r="G341" s="85">
        <v>2</v>
      </c>
      <c r="H341" s="86" t="s">
        <v>587</v>
      </c>
      <c r="I341" s="86"/>
      <c r="J341" s="86" t="s">
        <v>1694</v>
      </c>
      <c r="K341" s="166">
        <v>0</v>
      </c>
      <c r="L341" s="167">
        <v>0</v>
      </c>
      <c r="M341" s="2">
        <v>1</v>
      </c>
      <c r="N341" s="2">
        <f t="shared" si="5"/>
        <v>3</v>
      </c>
    </row>
    <row r="342" spans="1:14">
      <c r="A342" s="83">
        <v>179</v>
      </c>
      <c r="B342" s="84" t="s">
        <v>825</v>
      </c>
      <c r="C342" s="84" t="s">
        <v>824</v>
      </c>
      <c r="D342" s="84" t="s">
        <v>1643</v>
      </c>
      <c r="E342" s="68">
        <v>48</v>
      </c>
      <c r="F342" s="84" t="s">
        <v>1601</v>
      </c>
      <c r="G342" s="85">
        <v>3</v>
      </c>
      <c r="H342" s="86" t="s">
        <v>587</v>
      </c>
      <c r="I342" s="86"/>
      <c r="J342" s="86" t="s">
        <v>1694</v>
      </c>
      <c r="K342" s="166">
        <v>0</v>
      </c>
      <c r="L342" s="167">
        <v>0</v>
      </c>
      <c r="M342" s="2">
        <v>1</v>
      </c>
      <c r="N342" s="2">
        <f t="shared" si="5"/>
        <v>3</v>
      </c>
    </row>
    <row r="343" spans="1:14">
      <c r="A343" s="89">
        <v>183</v>
      </c>
      <c r="B343" s="90" t="s">
        <v>61</v>
      </c>
      <c r="C343" s="90" t="s">
        <v>12</v>
      </c>
      <c r="D343" s="90" t="s">
        <v>1644</v>
      </c>
      <c r="E343" s="68">
        <v>28</v>
      </c>
      <c r="F343" s="90" t="s">
        <v>570</v>
      </c>
      <c r="G343" s="91">
        <v>1</v>
      </c>
      <c r="H343" s="92" t="s">
        <v>587</v>
      </c>
      <c r="I343" s="92" t="s">
        <v>1116</v>
      </c>
      <c r="J343" s="92" t="s">
        <v>559</v>
      </c>
      <c r="K343" s="168">
        <v>0</v>
      </c>
      <c r="L343" s="169">
        <v>0</v>
      </c>
      <c r="M343" s="2">
        <v>2</v>
      </c>
      <c r="N343" s="2">
        <f t="shared" si="5"/>
        <v>5</v>
      </c>
    </row>
    <row r="344" spans="1:14">
      <c r="A344" s="16">
        <v>183</v>
      </c>
      <c r="B344" s="17" t="s">
        <v>61</v>
      </c>
      <c r="C344" s="17" t="s">
        <v>12</v>
      </c>
      <c r="D344" s="17" t="s">
        <v>1644</v>
      </c>
      <c r="E344" s="68">
        <v>55</v>
      </c>
      <c r="F344" s="17" t="s">
        <v>1585</v>
      </c>
      <c r="G344" s="65">
        <v>2</v>
      </c>
      <c r="H344" s="66" t="s">
        <v>587</v>
      </c>
      <c r="I344" s="66" t="s">
        <v>1116</v>
      </c>
      <c r="J344" s="66" t="s">
        <v>559</v>
      </c>
      <c r="K344" s="157">
        <v>0</v>
      </c>
      <c r="L344" s="170">
        <v>0</v>
      </c>
      <c r="M344" s="2">
        <v>2</v>
      </c>
      <c r="N344" s="2">
        <f t="shared" si="5"/>
        <v>5</v>
      </c>
    </row>
    <row r="345" spans="1:14">
      <c r="A345" s="16">
        <v>183</v>
      </c>
      <c r="B345" s="17" t="s">
        <v>61</v>
      </c>
      <c r="C345" s="17" t="s">
        <v>12</v>
      </c>
      <c r="D345" s="17" t="s">
        <v>1644</v>
      </c>
      <c r="E345" s="68">
        <v>9</v>
      </c>
      <c r="F345" s="17" t="s">
        <v>537</v>
      </c>
      <c r="G345" s="65">
        <v>3</v>
      </c>
      <c r="H345" s="66" t="s">
        <v>587</v>
      </c>
      <c r="I345" s="66" t="s">
        <v>1116</v>
      </c>
      <c r="J345" s="66" t="s">
        <v>559</v>
      </c>
      <c r="K345" s="157">
        <v>0</v>
      </c>
      <c r="L345" s="170">
        <v>0</v>
      </c>
      <c r="M345" s="2">
        <v>2</v>
      </c>
      <c r="N345" s="2">
        <f t="shared" si="5"/>
        <v>5</v>
      </c>
    </row>
    <row r="346" spans="1:14">
      <c r="A346" s="16">
        <v>183</v>
      </c>
      <c r="B346" s="17" t="s">
        <v>61</v>
      </c>
      <c r="C346" s="17" t="s">
        <v>12</v>
      </c>
      <c r="D346" s="17" t="s">
        <v>1644</v>
      </c>
      <c r="E346" s="68">
        <v>27</v>
      </c>
      <c r="F346" s="17" t="s">
        <v>569</v>
      </c>
      <c r="G346" s="65">
        <v>4</v>
      </c>
      <c r="H346" s="66" t="s">
        <v>587</v>
      </c>
      <c r="I346" s="66" t="s">
        <v>1116</v>
      </c>
      <c r="J346" s="66" t="s">
        <v>559</v>
      </c>
      <c r="K346" s="157">
        <v>0</v>
      </c>
      <c r="L346" s="170">
        <v>0</v>
      </c>
      <c r="M346" s="2">
        <v>2</v>
      </c>
      <c r="N346" s="2">
        <f t="shared" si="5"/>
        <v>5</v>
      </c>
    </row>
    <row r="347" spans="1:14">
      <c r="A347" s="16">
        <v>183</v>
      </c>
      <c r="B347" s="17" t="s">
        <v>61</v>
      </c>
      <c r="C347" s="17" t="s">
        <v>12</v>
      </c>
      <c r="D347" s="17" t="s">
        <v>1644</v>
      </c>
      <c r="E347" s="68">
        <v>81</v>
      </c>
      <c r="F347" s="17" t="s">
        <v>546</v>
      </c>
      <c r="G347" s="65">
        <v>5</v>
      </c>
      <c r="H347" s="66" t="s">
        <v>587</v>
      </c>
      <c r="I347" s="66" t="s">
        <v>1116</v>
      </c>
      <c r="J347" s="66" t="s">
        <v>559</v>
      </c>
      <c r="K347" s="157">
        <v>0</v>
      </c>
      <c r="L347" s="170">
        <v>0</v>
      </c>
      <c r="M347" s="2">
        <v>2</v>
      </c>
      <c r="N347" s="2">
        <f t="shared" si="5"/>
        <v>5</v>
      </c>
    </row>
    <row r="348" spans="1:14">
      <c r="A348" s="83">
        <v>186</v>
      </c>
      <c r="B348" s="84" t="s">
        <v>312</v>
      </c>
      <c r="C348" s="84" t="s">
        <v>125</v>
      </c>
      <c r="D348" s="84" t="s">
        <v>1645</v>
      </c>
      <c r="E348" s="68">
        <v>24</v>
      </c>
      <c r="F348" s="84" t="s">
        <v>951</v>
      </c>
      <c r="G348" s="85">
        <v>1</v>
      </c>
      <c r="H348" s="86" t="s">
        <v>587</v>
      </c>
      <c r="I348" s="86" t="s">
        <v>1586</v>
      </c>
      <c r="J348" s="86" t="s">
        <v>1586</v>
      </c>
      <c r="K348" s="166" t="s">
        <v>1156</v>
      </c>
      <c r="L348" s="167">
        <v>0</v>
      </c>
      <c r="M348" s="2">
        <v>1</v>
      </c>
      <c r="N348" s="2">
        <f t="shared" si="5"/>
        <v>2</v>
      </c>
    </row>
    <row r="349" spans="1:14">
      <c r="A349" s="83">
        <v>186</v>
      </c>
      <c r="B349" s="84" t="s">
        <v>312</v>
      </c>
      <c r="C349" s="84" t="s">
        <v>125</v>
      </c>
      <c r="D349" s="84" t="s">
        <v>1645</v>
      </c>
      <c r="E349" s="68">
        <v>23</v>
      </c>
      <c r="F349" s="84" t="s">
        <v>1586</v>
      </c>
      <c r="G349" s="85">
        <v>2</v>
      </c>
      <c r="H349" s="86" t="s">
        <v>587</v>
      </c>
      <c r="I349" s="86" t="s">
        <v>1586</v>
      </c>
      <c r="J349" s="86" t="s">
        <v>1586</v>
      </c>
      <c r="K349" s="166" t="s">
        <v>1156</v>
      </c>
      <c r="L349" s="167">
        <v>0</v>
      </c>
      <c r="M349" s="2">
        <v>1</v>
      </c>
      <c r="N349" s="2">
        <f t="shared" si="5"/>
        <v>2</v>
      </c>
    </row>
    <row r="350" spans="1:14">
      <c r="A350" s="89">
        <v>187</v>
      </c>
      <c r="B350" s="90" t="s">
        <v>314</v>
      </c>
      <c r="C350" s="90" t="s">
        <v>313</v>
      </c>
      <c r="D350" s="90" t="s">
        <v>1645</v>
      </c>
      <c r="E350" s="81">
        <v>34</v>
      </c>
      <c r="F350" s="90" t="s">
        <v>1581</v>
      </c>
      <c r="G350" s="91">
        <v>1</v>
      </c>
      <c r="H350" s="92" t="s">
        <v>587</v>
      </c>
      <c r="I350" s="92" t="s">
        <v>1573</v>
      </c>
      <c r="J350" s="92" t="s">
        <v>1116</v>
      </c>
      <c r="K350" s="168"/>
      <c r="L350" s="169"/>
      <c r="M350" s="2">
        <v>2</v>
      </c>
      <c r="N350" s="2">
        <f t="shared" si="5"/>
        <v>5</v>
      </c>
    </row>
    <row r="351" spans="1:14">
      <c r="A351" s="16">
        <v>187</v>
      </c>
      <c r="B351" s="17" t="s">
        <v>314</v>
      </c>
      <c r="C351" s="17" t="s">
        <v>313</v>
      </c>
      <c r="D351" s="17" t="s">
        <v>1645</v>
      </c>
      <c r="E351" s="81">
        <v>31</v>
      </c>
      <c r="F351" s="17" t="s">
        <v>1590</v>
      </c>
      <c r="G351" s="65">
        <v>2</v>
      </c>
      <c r="H351" s="66" t="s">
        <v>587</v>
      </c>
      <c r="I351" s="66" t="s">
        <v>1573</v>
      </c>
      <c r="J351" s="66" t="s">
        <v>1116</v>
      </c>
      <c r="K351" s="157"/>
      <c r="L351" s="170"/>
      <c r="M351" s="2">
        <v>2</v>
      </c>
      <c r="N351" s="2">
        <f t="shared" si="5"/>
        <v>5</v>
      </c>
    </row>
    <row r="352" spans="1:14">
      <c r="A352" s="16">
        <v>187</v>
      </c>
      <c r="B352" s="17" t="s">
        <v>314</v>
      </c>
      <c r="C352" s="17" t="s">
        <v>313</v>
      </c>
      <c r="D352" s="17" t="s">
        <v>1645</v>
      </c>
      <c r="E352" s="81">
        <v>97</v>
      </c>
      <c r="F352" s="17" t="s">
        <v>939</v>
      </c>
      <c r="G352" s="65">
        <v>3</v>
      </c>
      <c r="H352" s="66" t="s">
        <v>587</v>
      </c>
      <c r="I352" s="66" t="s">
        <v>1573</v>
      </c>
      <c r="J352" s="66" t="s">
        <v>1116</v>
      </c>
      <c r="K352" s="157"/>
      <c r="L352" s="170"/>
      <c r="M352" s="2">
        <v>2</v>
      </c>
      <c r="N352" s="2">
        <f t="shared" si="5"/>
        <v>5</v>
      </c>
    </row>
    <row r="353" spans="1:14">
      <c r="A353" s="16">
        <v>187</v>
      </c>
      <c r="B353" s="17" t="s">
        <v>314</v>
      </c>
      <c r="C353" s="17" t="s">
        <v>313</v>
      </c>
      <c r="D353" s="17" t="s">
        <v>1645</v>
      </c>
      <c r="E353" s="81">
        <v>95</v>
      </c>
      <c r="F353" s="17" t="s">
        <v>1611</v>
      </c>
      <c r="G353" s="65">
        <v>4</v>
      </c>
      <c r="H353" s="66" t="s">
        <v>587</v>
      </c>
      <c r="I353" s="66" t="s">
        <v>1573</v>
      </c>
      <c r="J353" s="66" t="s">
        <v>1116</v>
      </c>
      <c r="K353" s="157"/>
      <c r="L353" s="170"/>
      <c r="M353" s="2">
        <v>2</v>
      </c>
      <c r="N353" s="2">
        <f t="shared" si="5"/>
        <v>5</v>
      </c>
    </row>
    <row r="354" spans="1:14">
      <c r="A354" s="16">
        <v>187</v>
      </c>
      <c r="B354" s="17" t="s">
        <v>314</v>
      </c>
      <c r="C354" s="17" t="s">
        <v>313</v>
      </c>
      <c r="D354" s="17" t="s">
        <v>1645</v>
      </c>
      <c r="E354" s="81">
        <v>92</v>
      </c>
      <c r="F354" s="17" t="s">
        <v>531</v>
      </c>
      <c r="G354" s="65">
        <v>5</v>
      </c>
      <c r="H354" s="66" t="s">
        <v>587</v>
      </c>
      <c r="I354" s="66" t="s">
        <v>1573</v>
      </c>
      <c r="J354" s="66" t="s">
        <v>1116</v>
      </c>
      <c r="K354" s="157"/>
      <c r="L354" s="170"/>
      <c r="M354" s="2">
        <v>2</v>
      </c>
      <c r="N354" s="2">
        <f t="shared" si="5"/>
        <v>5</v>
      </c>
    </row>
    <row r="355" spans="1:14">
      <c r="A355" s="83">
        <v>189</v>
      </c>
      <c r="B355" s="84" t="s">
        <v>46</v>
      </c>
      <c r="C355" s="84" t="s">
        <v>225</v>
      </c>
      <c r="D355" s="84" t="s">
        <v>1645</v>
      </c>
      <c r="E355" s="68">
        <v>79</v>
      </c>
      <c r="F355" s="84" t="s">
        <v>575</v>
      </c>
      <c r="G355" s="85">
        <v>1</v>
      </c>
      <c r="H355" s="86" t="s">
        <v>598</v>
      </c>
      <c r="I355" s="86"/>
      <c r="J355" s="86" t="s">
        <v>1695</v>
      </c>
      <c r="K355" s="166">
        <v>0</v>
      </c>
      <c r="L355" s="167">
        <v>0</v>
      </c>
      <c r="M355" s="2">
        <v>1</v>
      </c>
      <c r="N355" s="2">
        <f t="shared" si="5"/>
        <v>5</v>
      </c>
    </row>
    <row r="356" spans="1:14">
      <c r="A356" s="83">
        <v>189</v>
      </c>
      <c r="B356" s="84" t="s">
        <v>46</v>
      </c>
      <c r="C356" s="84" t="s">
        <v>225</v>
      </c>
      <c r="D356" s="84" t="s">
        <v>1645</v>
      </c>
      <c r="E356" s="68">
        <v>31</v>
      </c>
      <c r="F356" s="84" t="s">
        <v>1590</v>
      </c>
      <c r="G356" s="85">
        <v>2</v>
      </c>
      <c r="H356" s="86" t="s">
        <v>598</v>
      </c>
      <c r="I356" s="86"/>
      <c r="J356" s="86" t="s">
        <v>1695</v>
      </c>
      <c r="K356" s="166">
        <v>0</v>
      </c>
      <c r="L356" s="167">
        <v>0</v>
      </c>
      <c r="M356" s="2">
        <v>1</v>
      </c>
      <c r="N356" s="2">
        <f t="shared" si="5"/>
        <v>5</v>
      </c>
    </row>
    <row r="357" spans="1:14">
      <c r="A357" s="83">
        <v>189</v>
      </c>
      <c r="B357" s="84" t="s">
        <v>46</v>
      </c>
      <c r="C357" s="84" t="s">
        <v>225</v>
      </c>
      <c r="D357" s="84" t="s">
        <v>1645</v>
      </c>
      <c r="E357" s="68">
        <v>2</v>
      </c>
      <c r="F357" s="84" t="s">
        <v>529</v>
      </c>
      <c r="G357" s="85">
        <v>3</v>
      </c>
      <c r="H357" s="86" t="s">
        <v>598</v>
      </c>
      <c r="I357" s="86"/>
      <c r="J357" s="86" t="s">
        <v>1695</v>
      </c>
      <c r="K357" s="166">
        <v>0</v>
      </c>
      <c r="L357" s="167">
        <v>0</v>
      </c>
      <c r="M357" s="2">
        <v>1</v>
      </c>
      <c r="N357" s="2">
        <f t="shared" si="5"/>
        <v>5</v>
      </c>
    </row>
    <row r="358" spans="1:14">
      <c r="A358" s="83">
        <v>189</v>
      </c>
      <c r="B358" s="84" t="s">
        <v>46</v>
      </c>
      <c r="C358" s="84" t="s">
        <v>225</v>
      </c>
      <c r="D358" s="84" t="s">
        <v>1645</v>
      </c>
      <c r="E358" s="68">
        <v>55</v>
      </c>
      <c r="F358" s="84" t="s">
        <v>1585</v>
      </c>
      <c r="G358" s="85">
        <v>4</v>
      </c>
      <c r="H358" s="86" t="s">
        <v>598</v>
      </c>
      <c r="I358" s="86"/>
      <c r="J358" s="86" t="s">
        <v>1695</v>
      </c>
      <c r="K358" s="166">
        <v>0</v>
      </c>
      <c r="L358" s="167">
        <v>0</v>
      </c>
      <c r="M358" s="2">
        <v>1</v>
      </c>
      <c r="N358" s="2">
        <f t="shared" si="5"/>
        <v>5</v>
      </c>
    </row>
    <row r="359" spans="1:14">
      <c r="A359" s="83">
        <v>189</v>
      </c>
      <c r="B359" s="84" t="s">
        <v>46</v>
      </c>
      <c r="C359" s="84" t="s">
        <v>225</v>
      </c>
      <c r="D359" s="84" t="s">
        <v>1645</v>
      </c>
      <c r="E359" s="68">
        <v>77</v>
      </c>
      <c r="F359" s="84" t="s">
        <v>1615</v>
      </c>
      <c r="G359" s="85">
        <v>5</v>
      </c>
      <c r="H359" s="86" t="s">
        <v>598</v>
      </c>
      <c r="I359" s="86"/>
      <c r="J359" s="86" t="s">
        <v>1695</v>
      </c>
      <c r="K359" s="166">
        <v>0</v>
      </c>
      <c r="L359" s="167">
        <v>0</v>
      </c>
      <c r="M359" s="2">
        <v>1</v>
      </c>
      <c r="N359" s="2">
        <f t="shared" si="5"/>
        <v>5</v>
      </c>
    </row>
    <row r="360" spans="1:14">
      <c r="A360" s="89">
        <v>192</v>
      </c>
      <c r="B360" s="90" t="s">
        <v>317</v>
      </c>
      <c r="C360" s="90" t="s">
        <v>316</v>
      </c>
      <c r="D360" s="90" t="s">
        <v>1646</v>
      </c>
      <c r="E360" s="68">
        <v>28</v>
      </c>
      <c r="F360" s="90" t="s">
        <v>570</v>
      </c>
      <c r="G360" s="91">
        <v>1</v>
      </c>
      <c r="H360" s="92" t="s">
        <v>995</v>
      </c>
      <c r="I360" s="92" t="s">
        <v>1118</v>
      </c>
      <c r="J360" s="92"/>
      <c r="K360" s="168" t="s">
        <v>1153</v>
      </c>
      <c r="L360" s="169">
        <v>0</v>
      </c>
      <c r="M360" s="2">
        <v>2</v>
      </c>
      <c r="N360" s="2">
        <f t="shared" si="5"/>
        <v>5</v>
      </c>
    </row>
    <row r="361" spans="1:14">
      <c r="A361" s="16">
        <v>192</v>
      </c>
      <c r="B361" s="17" t="s">
        <v>317</v>
      </c>
      <c r="C361" s="17" t="s">
        <v>316</v>
      </c>
      <c r="D361" s="17" t="s">
        <v>1646</v>
      </c>
      <c r="E361" s="68">
        <v>84</v>
      </c>
      <c r="F361" s="17" t="s">
        <v>1574</v>
      </c>
      <c r="G361" s="65">
        <v>2</v>
      </c>
      <c r="H361" s="66" t="s">
        <v>995</v>
      </c>
      <c r="I361" s="66" t="s">
        <v>1118</v>
      </c>
      <c r="J361" s="66"/>
      <c r="K361" s="157" t="s">
        <v>1153</v>
      </c>
      <c r="L361" s="170">
        <v>0</v>
      </c>
      <c r="M361" s="2">
        <v>2</v>
      </c>
      <c r="N361" s="2">
        <f t="shared" si="5"/>
        <v>5</v>
      </c>
    </row>
    <row r="362" spans="1:14">
      <c r="A362" s="16">
        <v>192</v>
      </c>
      <c r="B362" s="17" t="s">
        <v>317</v>
      </c>
      <c r="C362" s="17" t="s">
        <v>316</v>
      </c>
      <c r="D362" s="17" t="s">
        <v>1646</v>
      </c>
      <c r="E362" s="68">
        <v>56</v>
      </c>
      <c r="F362" s="17" t="s">
        <v>1610</v>
      </c>
      <c r="G362" s="65">
        <v>3</v>
      </c>
      <c r="H362" s="66" t="s">
        <v>995</v>
      </c>
      <c r="I362" s="66" t="s">
        <v>1118</v>
      </c>
      <c r="J362" s="66"/>
      <c r="K362" s="157" t="s">
        <v>1153</v>
      </c>
      <c r="L362" s="170">
        <v>0</v>
      </c>
      <c r="M362" s="2">
        <v>2</v>
      </c>
      <c r="N362" s="2">
        <f t="shared" si="5"/>
        <v>5</v>
      </c>
    </row>
    <row r="363" spans="1:14">
      <c r="A363" s="16">
        <v>192</v>
      </c>
      <c r="B363" s="17" t="s">
        <v>317</v>
      </c>
      <c r="C363" s="17" t="s">
        <v>316</v>
      </c>
      <c r="D363" s="17" t="s">
        <v>1646</v>
      </c>
      <c r="E363" s="68">
        <v>26</v>
      </c>
      <c r="F363" s="17" t="s">
        <v>1573</v>
      </c>
      <c r="G363" s="65">
        <v>4</v>
      </c>
      <c r="H363" s="66" t="s">
        <v>995</v>
      </c>
      <c r="I363" s="66" t="s">
        <v>1118</v>
      </c>
      <c r="J363" s="66"/>
      <c r="K363" s="157" t="s">
        <v>1153</v>
      </c>
      <c r="L363" s="170">
        <v>0</v>
      </c>
      <c r="M363" s="2">
        <v>2</v>
      </c>
      <c r="N363" s="2">
        <f t="shared" si="5"/>
        <v>5</v>
      </c>
    </row>
    <row r="364" spans="1:14">
      <c r="A364" s="16">
        <v>192</v>
      </c>
      <c r="B364" s="17" t="s">
        <v>317</v>
      </c>
      <c r="C364" s="17" t="s">
        <v>316</v>
      </c>
      <c r="D364" s="17" t="s">
        <v>1646</v>
      </c>
      <c r="E364" s="68">
        <v>43</v>
      </c>
      <c r="F364" s="17" t="s">
        <v>1582</v>
      </c>
      <c r="G364" s="65">
        <v>5</v>
      </c>
      <c r="H364" s="66" t="s">
        <v>995</v>
      </c>
      <c r="I364" s="66" t="s">
        <v>1118</v>
      </c>
      <c r="J364" s="66"/>
      <c r="K364" s="157" t="s">
        <v>1153</v>
      </c>
      <c r="L364" s="170">
        <v>0</v>
      </c>
      <c r="M364" s="2">
        <v>2</v>
      </c>
      <c r="N364" s="2">
        <f t="shared" si="5"/>
        <v>5</v>
      </c>
    </row>
    <row r="365" spans="1:14">
      <c r="A365" s="83">
        <v>193</v>
      </c>
      <c r="B365" s="84" t="s">
        <v>100</v>
      </c>
      <c r="C365" s="84" t="s">
        <v>829</v>
      </c>
      <c r="D365" s="84" t="s">
        <v>1647</v>
      </c>
      <c r="E365" s="68">
        <v>87</v>
      </c>
      <c r="F365" s="84" t="s">
        <v>566</v>
      </c>
      <c r="G365" s="85">
        <v>1</v>
      </c>
      <c r="H365" s="86" t="s">
        <v>1015</v>
      </c>
      <c r="I365" s="86"/>
      <c r="J365" s="86" t="s">
        <v>1612</v>
      </c>
      <c r="K365" s="166">
        <v>0</v>
      </c>
      <c r="L365" s="167">
        <v>0</v>
      </c>
      <c r="M365" s="2">
        <v>1</v>
      </c>
      <c r="N365" s="2">
        <f t="shared" si="5"/>
        <v>5</v>
      </c>
    </row>
    <row r="366" spans="1:14">
      <c r="A366" s="83">
        <v>193</v>
      </c>
      <c r="B366" s="84" t="s">
        <v>100</v>
      </c>
      <c r="C366" s="84" t="s">
        <v>829</v>
      </c>
      <c r="D366" s="84" t="s">
        <v>1647</v>
      </c>
      <c r="E366" s="68">
        <v>59</v>
      </c>
      <c r="F366" s="84" t="s">
        <v>554</v>
      </c>
      <c r="G366" s="85">
        <v>2</v>
      </c>
      <c r="H366" s="86" t="s">
        <v>1015</v>
      </c>
      <c r="I366" s="86"/>
      <c r="J366" s="86" t="s">
        <v>1612</v>
      </c>
      <c r="K366" s="166">
        <v>0</v>
      </c>
      <c r="L366" s="167">
        <v>0</v>
      </c>
      <c r="M366" s="2">
        <v>1</v>
      </c>
      <c r="N366" s="2">
        <f t="shared" si="5"/>
        <v>5</v>
      </c>
    </row>
    <row r="367" spans="1:14">
      <c r="A367" s="83">
        <v>193</v>
      </c>
      <c r="B367" s="84" t="s">
        <v>100</v>
      </c>
      <c r="C367" s="84" t="s">
        <v>829</v>
      </c>
      <c r="D367" s="84" t="s">
        <v>1647</v>
      </c>
      <c r="E367" s="68">
        <v>62</v>
      </c>
      <c r="F367" s="84" t="s">
        <v>949</v>
      </c>
      <c r="G367" s="85">
        <v>3</v>
      </c>
      <c r="H367" s="86" t="s">
        <v>1015</v>
      </c>
      <c r="I367" s="86"/>
      <c r="J367" s="86" t="s">
        <v>1612</v>
      </c>
      <c r="K367" s="166">
        <v>0</v>
      </c>
      <c r="L367" s="167">
        <v>0</v>
      </c>
      <c r="M367" s="2">
        <v>1</v>
      </c>
      <c r="N367" s="2">
        <f t="shared" si="5"/>
        <v>5</v>
      </c>
    </row>
    <row r="368" spans="1:14">
      <c r="A368" s="83">
        <v>193</v>
      </c>
      <c r="B368" s="84" t="s">
        <v>100</v>
      </c>
      <c r="C368" s="84" t="s">
        <v>829</v>
      </c>
      <c r="D368" s="84" t="s">
        <v>1647</v>
      </c>
      <c r="E368" s="68">
        <v>29</v>
      </c>
      <c r="F368" s="84" t="s">
        <v>571</v>
      </c>
      <c r="G368" s="85">
        <v>4</v>
      </c>
      <c r="H368" s="86" t="s">
        <v>1015</v>
      </c>
      <c r="I368" s="86"/>
      <c r="J368" s="86" t="s">
        <v>1612</v>
      </c>
      <c r="K368" s="166">
        <v>0</v>
      </c>
      <c r="L368" s="167">
        <v>0</v>
      </c>
      <c r="M368" s="2">
        <v>1</v>
      </c>
      <c r="N368" s="2">
        <f t="shared" si="5"/>
        <v>5</v>
      </c>
    </row>
    <row r="369" spans="1:14">
      <c r="A369" s="83">
        <v>193</v>
      </c>
      <c r="B369" s="84" t="s">
        <v>100</v>
      </c>
      <c r="C369" s="84" t="s">
        <v>829</v>
      </c>
      <c r="D369" s="84" t="s">
        <v>1647</v>
      </c>
      <c r="E369" s="68">
        <v>46</v>
      </c>
      <c r="F369" s="84" t="s">
        <v>1597</v>
      </c>
      <c r="G369" s="85">
        <v>5</v>
      </c>
      <c r="H369" s="86" t="s">
        <v>1015</v>
      </c>
      <c r="I369" s="86"/>
      <c r="J369" s="86" t="s">
        <v>1612</v>
      </c>
      <c r="K369" s="166">
        <v>0</v>
      </c>
      <c r="L369" s="167">
        <v>0</v>
      </c>
      <c r="M369" s="2">
        <v>1</v>
      </c>
      <c r="N369" s="2">
        <f t="shared" si="5"/>
        <v>5</v>
      </c>
    </row>
    <row r="370" spans="1:14">
      <c r="A370" s="89">
        <v>196</v>
      </c>
      <c r="B370" s="90" t="s">
        <v>311</v>
      </c>
      <c r="C370" s="90" t="s">
        <v>192</v>
      </c>
      <c r="D370" s="90" t="s">
        <v>1648</v>
      </c>
      <c r="E370" s="68">
        <v>4</v>
      </c>
      <c r="F370" s="90" t="s">
        <v>1575</v>
      </c>
      <c r="G370" s="91">
        <v>1</v>
      </c>
      <c r="H370" s="92" t="s">
        <v>999</v>
      </c>
      <c r="I370" s="92" t="s">
        <v>1590</v>
      </c>
      <c r="J370" s="92" t="s">
        <v>1696</v>
      </c>
      <c r="K370" s="168">
        <v>0</v>
      </c>
      <c r="L370" s="169">
        <v>0</v>
      </c>
      <c r="M370" s="2">
        <v>2</v>
      </c>
      <c r="N370" s="2">
        <f t="shared" si="5"/>
        <v>5</v>
      </c>
    </row>
    <row r="371" spans="1:14">
      <c r="A371" s="16">
        <v>196</v>
      </c>
      <c r="B371" s="17" t="s">
        <v>311</v>
      </c>
      <c r="C371" s="17" t="s">
        <v>192</v>
      </c>
      <c r="D371" s="17" t="s">
        <v>1648</v>
      </c>
      <c r="E371" s="68">
        <v>34</v>
      </c>
      <c r="F371" s="17" t="s">
        <v>1581</v>
      </c>
      <c r="G371" s="65">
        <v>2</v>
      </c>
      <c r="H371" s="66" t="s">
        <v>999</v>
      </c>
      <c r="I371" s="66" t="s">
        <v>1590</v>
      </c>
      <c r="J371" s="66" t="s">
        <v>1696</v>
      </c>
      <c r="K371" s="157">
        <v>0</v>
      </c>
      <c r="L371" s="170">
        <v>0</v>
      </c>
      <c r="M371" s="2">
        <v>2</v>
      </c>
      <c r="N371" s="2">
        <f t="shared" si="5"/>
        <v>5</v>
      </c>
    </row>
    <row r="372" spans="1:14">
      <c r="A372" s="16">
        <v>196</v>
      </c>
      <c r="B372" s="17" t="s">
        <v>311</v>
      </c>
      <c r="C372" s="17" t="s">
        <v>192</v>
      </c>
      <c r="D372" s="17" t="s">
        <v>1648</v>
      </c>
      <c r="E372" s="68">
        <v>23</v>
      </c>
      <c r="F372" s="17" t="s">
        <v>1586</v>
      </c>
      <c r="G372" s="65">
        <v>3</v>
      </c>
      <c r="H372" s="66" t="s">
        <v>999</v>
      </c>
      <c r="I372" s="66" t="s">
        <v>1590</v>
      </c>
      <c r="J372" s="66" t="s">
        <v>1696</v>
      </c>
      <c r="K372" s="157">
        <v>0</v>
      </c>
      <c r="L372" s="170">
        <v>0</v>
      </c>
      <c r="M372" s="2">
        <v>2</v>
      </c>
      <c r="N372" s="2">
        <f t="shared" si="5"/>
        <v>5</v>
      </c>
    </row>
    <row r="373" spans="1:14">
      <c r="A373" s="16">
        <v>196</v>
      </c>
      <c r="B373" s="17" t="s">
        <v>311</v>
      </c>
      <c r="C373" s="17" t="s">
        <v>192</v>
      </c>
      <c r="D373" s="17" t="s">
        <v>1648</v>
      </c>
      <c r="E373" s="68">
        <v>76</v>
      </c>
      <c r="F373" s="17" t="s">
        <v>1613</v>
      </c>
      <c r="G373" s="65">
        <v>4</v>
      </c>
      <c r="H373" s="66" t="s">
        <v>999</v>
      </c>
      <c r="I373" s="66" t="s">
        <v>1590</v>
      </c>
      <c r="J373" s="66" t="s">
        <v>1696</v>
      </c>
      <c r="K373" s="157">
        <v>0</v>
      </c>
      <c r="L373" s="170">
        <v>0</v>
      </c>
      <c r="M373" s="2">
        <v>2</v>
      </c>
      <c r="N373" s="2">
        <f t="shared" si="5"/>
        <v>5</v>
      </c>
    </row>
    <row r="374" spans="1:14">
      <c r="A374" s="16">
        <v>196</v>
      </c>
      <c r="B374" s="17" t="s">
        <v>311</v>
      </c>
      <c r="C374" s="17" t="s">
        <v>192</v>
      </c>
      <c r="D374" s="17" t="s">
        <v>1648</v>
      </c>
      <c r="E374" s="68">
        <v>49</v>
      </c>
      <c r="F374" s="17" t="s">
        <v>1591</v>
      </c>
      <c r="G374" s="65">
        <v>5</v>
      </c>
      <c r="H374" s="66" t="s">
        <v>999</v>
      </c>
      <c r="I374" s="66" t="s">
        <v>1590</v>
      </c>
      <c r="J374" s="66" t="s">
        <v>1696</v>
      </c>
      <c r="K374" s="157">
        <v>0</v>
      </c>
      <c r="L374" s="170">
        <v>0</v>
      </c>
      <c r="M374" s="2">
        <v>2</v>
      </c>
      <c r="N374" s="2">
        <f t="shared" si="5"/>
        <v>5</v>
      </c>
    </row>
    <row r="375" spans="1:14">
      <c r="A375" s="83">
        <v>198</v>
      </c>
      <c r="B375" s="84" t="s">
        <v>322</v>
      </c>
      <c r="C375" s="84" t="s">
        <v>321</v>
      </c>
      <c r="D375" s="84" t="s">
        <v>1648</v>
      </c>
      <c r="E375" s="68">
        <v>27</v>
      </c>
      <c r="F375" s="84" t="s">
        <v>569</v>
      </c>
      <c r="G375" s="85">
        <v>1</v>
      </c>
      <c r="H375" s="86" t="s">
        <v>1012</v>
      </c>
      <c r="I375" s="86" t="s">
        <v>1678</v>
      </c>
      <c r="J375" s="86"/>
      <c r="K375" s="166">
        <v>0</v>
      </c>
      <c r="L375" s="167">
        <v>0</v>
      </c>
      <c r="M375" s="2">
        <v>1</v>
      </c>
      <c r="N375" s="2">
        <f t="shared" si="5"/>
        <v>5</v>
      </c>
    </row>
    <row r="376" spans="1:14">
      <c r="A376" s="83">
        <v>198</v>
      </c>
      <c r="B376" s="84" t="s">
        <v>322</v>
      </c>
      <c r="C376" s="84" t="s">
        <v>321</v>
      </c>
      <c r="D376" s="84" t="s">
        <v>1648</v>
      </c>
      <c r="E376" s="68">
        <v>64</v>
      </c>
      <c r="F376" s="84" t="s">
        <v>1592</v>
      </c>
      <c r="G376" s="85">
        <v>2</v>
      </c>
      <c r="H376" s="86" t="s">
        <v>1012</v>
      </c>
      <c r="I376" s="86" t="s">
        <v>1678</v>
      </c>
      <c r="J376" s="86"/>
      <c r="K376" s="166">
        <v>0</v>
      </c>
      <c r="L376" s="167">
        <v>0</v>
      </c>
      <c r="M376" s="2">
        <v>1</v>
      </c>
      <c r="N376" s="2">
        <f t="shared" si="5"/>
        <v>5</v>
      </c>
    </row>
    <row r="377" spans="1:14">
      <c r="A377" s="83">
        <v>198</v>
      </c>
      <c r="B377" s="84" t="s">
        <v>322</v>
      </c>
      <c r="C377" s="84" t="s">
        <v>321</v>
      </c>
      <c r="D377" s="84" t="s">
        <v>1648</v>
      </c>
      <c r="E377" s="68">
        <v>78</v>
      </c>
      <c r="F377" s="84" t="s">
        <v>1589</v>
      </c>
      <c r="G377" s="85">
        <v>3</v>
      </c>
      <c r="H377" s="86" t="s">
        <v>1012</v>
      </c>
      <c r="I377" s="86" t="s">
        <v>1678</v>
      </c>
      <c r="J377" s="86"/>
      <c r="K377" s="166">
        <v>0</v>
      </c>
      <c r="L377" s="167">
        <v>0</v>
      </c>
      <c r="M377" s="2">
        <v>1</v>
      </c>
      <c r="N377" s="2">
        <f t="shared" si="5"/>
        <v>5</v>
      </c>
    </row>
    <row r="378" spans="1:14">
      <c r="A378" s="83">
        <v>198</v>
      </c>
      <c r="B378" s="84" t="s">
        <v>322</v>
      </c>
      <c r="C378" s="84" t="s">
        <v>321</v>
      </c>
      <c r="D378" s="84" t="s">
        <v>1648</v>
      </c>
      <c r="E378" s="68">
        <v>18</v>
      </c>
      <c r="F378" s="84" t="s">
        <v>1588</v>
      </c>
      <c r="G378" s="85">
        <v>4</v>
      </c>
      <c r="H378" s="86" t="s">
        <v>1012</v>
      </c>
      <c r="I378" s="86" t="s">
        <v>1678</v>
      </c>
      <c r="J378" s="86"/>
      <c r="K378" s="166">
        <v>0</v>
      </c>
      <c r="L378" s="167">
        <v>0</v>
      </c>
      <c r="M378" s="2">
        <v>1</v>
      </c>
      <c r="N378" s="2">
        <f t="shared" si="5"/>
        <v>5</v>
      </c>
    </row>
    <row r="379" spans="1:14">
      <c r="A379" s="83">
        <v>198</v>
      </c>
      <c r="B379" s="84" t="s">
        <v>322</v>
      </c>
      <c r="C379" s="84" t="s">
        <v>321</v>
      </c>
      <c r="D379" s="84" t="s">
        <v>1648</v>
      </c>
      <c r="E379" s="68">
        <v>2</v>
      </c>
      <c r="F379" s="84" t="s">
        <v>529</v>
      </c>
      <c r="G379" s="85">
        <v>5</v>
      </c>
      <c r="H379" s="86" t="s">
        <v>1012</v>
      </c>
      <c r="I379" s="86" t="s">
        <v>1678</v>
      </c>
      <c r="J379" s="86"/>
      <c r="K379" s="166">
        <v>0</v>
      </c>
      <c r="L379" s="167">
        <v>0</v>
      </c>
      <c r="M379" s="2">
        <v>1</v>
      </c>
      <c r="N379" s="2">
        <f t="shared" si="5"/>
        <v>5</v>
      </c>
    </row>
    <row r="380" spans="1:14">
      <c r="A380" s="89">
        <v>199</v>
      </c>
      <c r="B380" s="90" t="s">
        <v>227</v>
      </c>
      <c r="C380" s="90" t="s">
        <v>226</v>
      </c>
      <c r="D380" s="90" t="s">
        <v>1648</v>
      </c>
      <c r="E380" s="68">
        <v>80</v>
      </c>
      <c r="F380" s="90" t="s">
        <v>1594</v>
      </c>
      <c r="G380" s="91">
        <v>1</v>
      </c>
      <c r="H380" s="92" t="s">
        <v>973</v>
      </c>
      <c r="I380" s="92" t="s">
        <v>1578</v>
      </c>
      <c r="J380" s="92" t="s">
        <v>1670</v>
      </c>
      <c r="K380" s="168">
        <v>0</v>
      </c>
      <c r="L380" s="169" t="s">
        <v>1048</v>
      </c>
      <c r="M380" s="2">
        <v>2</v>
      </c>
      <c r="N380" s="2">
        <f t="shared" si="5"/>
        <v>5</v>
      </c>
    </row>
    <row r="381" spans="1:14">
      <c r="A381" s="16">
        <v>199</v>
      </c>
      <c r="B381" s="17" t="s">
        <v>227</v>
      </c>
      <c r="C381" s="17" t="s">
        <v>226</v>
      </c>
      <c r="D381" s="17" t="s">
        <v>1648</v>
      </c>
      <c r="E381" s="68">
        <v>84</v>
      </c>
      <c r="F381" s="17" t="s">
        <v>1574</v>
      </c>
      <c r="G381" s="65">
        <v>2</v>
      </c>
      <c r="H381" s="66" t="s">
        <v>973</v>
      </c>
      <c r="I381" s="66" t="s">
        <v>1578</v>
      </c>
      <c r="J381" s="66" t="s">
        <v>1670</v>
      </c>
      <c r="K381" s="157">
        <v>0</v>
      </c>
      <c r="L381" s="170" t="s">
        <v>1048</v>
      </c>
      <c r="M381" s="2">
        <v>2</v>
      </c>
      <c r="N381" s="2">
        <f t="shared" si="5"/>
        <v>5</v>
      </c>
    </row>
    <row r="382" spans="1:14">
      <c r="A382" s="16">
        <v>199</v>
      </c>
      <c r="B382" s="17" t="s">
        <v>227</v>
      </c>
      <c r="C382" s="17" t="s">
        <v>226</v>
      </c>
      <c r="D382" s="17" t="s">
        <v>1648</v>
      </c>
      <c r="E382" s="68">
        <v>81</v>
      </c>
      <c r="F382" s="17" t="s">
        <v>546</v>
      </c>
      <c r="G382" s="65">
        <v>3</v>
      </c>
      <c r="H382" s="66" t="s">
        <v>973</v>
      </c>
      <c r="I382" s="66" t="s">
        <v>1578</v>
      </c>
      <c r="J382" s="66" t="s">
        <v>1670</v>
      </c>
      <c r="K382" s="157">
        <v>0</v>
      </c>
      <c r="L382" s="170" t="s">
        <v>1048</v>
      </c>
      <c r="M382" s="2">
        <v>2</v>
      </c>
      <c r="N382" s="2">
        <f t="shared" si="5"/>
        <v>5</v>
      </c>
    </row>
    <row r="383" spans="1:14">
      <c r="A383" s="16">
        <v>199</v>
      </c>
      <c r="B383" s="17" t="s">
        <v>227</v>
      </c>
      <c r="C383" s="17" t="s">
        <v>226</v>
      </c>
      <c r="D383" s="17" t="s">
        <v>1648</v>
      </c>
      <c r="E383" s="68">
        <v>85</v>
      </c>
      <c r="F383" s="17" t="s">
        <v>1578</v>
      </c>
      <c r="G383" s="65">
        <v>4</v>
      </c>
      <c r="H383" s="66" t="s">
        <v>973</v>
      </c>
      <c r="I383" s="66" t="s">
        <v>1578</v>
      </c>
      <c r="J383" s="66" t="s">
        <v>1670</v>
      </c>
      <c r="K383" s="157">
        <v>0</v>
      </c>
      <c r="L383" s="170" t="s">
        <v>1048</v>
      </c>
      <c r="M383" s="2">
        <v>2</v>
      </c>
      <c r="N383" s="2">
        <f t="shared" si="5"/>
        <v>5</v>
      </c>
    </row>
    <row r="384" spans="1:14">
      <c r="A384" s="16">
        <v>199</v>
      </c>
      <c r="B384" s="17" t="s">
        <v>227</v>
      </c>
      <c r="C384" s="17" t="s">
        <v>226</v>
      </c>
      <c r="D384" s="17" t="s">
        <v>1648</v>
      </c>
      <c r="E384" s="68">
        <v>26</v>
      </c>
      <c r="F384" s="17" t="s">
        <v>1573</v>
      </c>
      <c r="G384" s="65">
        <v>5</v>
      </c>
      <c r="H384" s="66" t="s">
        <v>973</v>
      </c>
      <c r="I384" s="66" t="s">
        <v>1578</v>
      </c>
      <c r="J384" s="66" t="s">
        <v>1670</v>
      </c>
      <c r="K384" s="157">
        <v>0</v>
      </c>
      <c r="L384" s="170" t="s">
        <v>1048</v>
      </c>
      <c r="M384" s="2">
        <v>2</v>
      </c>
      <c r="N384" s="2">
        <f t="shared" si="5"/>
        <v>5</v>
      </c>
    </row>
    <row r="385" spans="1:14">
      <c r="A385" s="83">
        <v>206</v>
      </c>
      <c r="B385" s="84" t="s">
        <v>99</v>
      </c>
      <c r="C385" s="84" t="s">
        <v>43</v>
      </c>
      <c r="D385" s="84" t="s">
        <v>1649</v>
      </c>
      <c r="E385" s="68">
        <v>18</v>
      </c>
      <c r="F385" s="84" t="s">
        <v>1588</v>
      </c>
      <c r="G385" s="85">
        <v>1</v>
      </c>
      <c r="H385" s="86" t="s">
        <v>596</v>
      </c>
      <c r="I385" s="86" t="s">
        <v>1588</v>
      </c>
      <c r="J385" s="86" t="s">
        <v>1687</v>
      </c>
      <c r="K385" s="166">
        <v>0</v>
      </c>
      <c r="L385" s="167">
        <v>0</v>
      </c>
      <c r="M385" s="2">
        <v>1</v>
      </c>
      <c r="N385" s="2">
        <f t="shared" si="5"/>
        <v>5</v>
      </c>
    </row>
    <row r="386" spans="1:14">
      <c r="A386" s="83">
        <v>206</v>
      </c>
      <c r="B386" s="84" t="s">
        <v>99</v>
      </c>
      <c r="C386" s="84" t="s">
        <v>43</v>
      </c>
      <c r="D386" s="84" t="s">
        <v>1649</v>
      </c>
      <c r="E386" s="68">
        <v>56</v>
      </c>
      <c r="F386" s="84" t="s">
        <v>1610</v>
      </c>
      <c r="G386" s="85">
        <v>2</v>
      </c>
      <c r="H386" s="86" t="s">
        <v>596</v>
      </c>
      <c r="I386" s="86" t="s">
        <v>1588</v>
      </c>
      <c r="J386" s="86" t="s">
        <v>1687</v>
      </c>
      <c r="K386" s="166">
        <v>0</v>
      </c>
      <c r="L386" s="167">
        <v>0</v>
      </c>
      <c r="M386" s="2">
        <v>1</v>
      </c>
      <c r="N386" s="2">
        <f t="shared" si="5"/>
        <v>5</v>
      </c>
    </row>
    <row r="387" spans="1:14">
      <c r="A387" s="83">
        <v>206</v>
      </c>
      <c r="B387" s="84" t="s">
        <v>99</v>
      </c>
      <c r="C387" s="84" t="s">
        <v>43</v>
      </c>
      <c r="D387" s="84" t="s">
        <v>1649</v>
      </c>
      <c r="E387" s="68">
        <v>84</v>
      </c>
      <c r="F387" s="84" t="s">
        <v>1574</v>
      </c>
      <c r="G387" s="85">
        <v>3</v>
      </c>
      <c r="H387" s="86" t="s">
        <v>596</v>
      </c>
      <c r="I387" s="86" t="s">
        <v>1588</v>
      </c>
      <c r="J387" s="86" t="s">
        <v>1687</v>
      </c>
      <c r="K387" s="166">
        <v>0</v>
      </c>
      <c r="L387" s="167">
        <v>0</v>
      </c>
      <c r="M387" s="2">
        <v>1</v>
      </c>
      <c r="N387" s="2">
        <f t="shared" ref="N387:N450" si="6">COUNTIF(A:A,A387)</f>
        <v>5</v>
      </c>
    </row>
    <row r="388" spans="1:14">
      <c r="A388" s="83">
        <v>206</v>
      </c>
      <c r="B388" s="84" t="s">
        <v>99</v>
      </c>
      <c r="C388" s="84" t="s">
        <v>43</v>
      </c>
      <c r="D388" s="84" t="s">
        <v>1649</v>
      </c>
      <c r="E388" s="68">
        <v>4</v>
      </c>
      <c r="F388" s="84" t="s">
        <v>1575</v>
      </c>
      <c r="G388" s="85">
        <v>4</v>
      </c>
      <c r="H388" s="86" t="s">
        <v>596</v>
      </c>
      <c r="I388" s="86" t="s">
        <v>1588</v>
      </c>
      <c r="J388" s="86" t="s">
        <v>1687</v>
      </c>
      <c r="K388" s="166">
        <v>0</v>
      </c>
      <c r="L388" s="167">
        <v>0</v>
      </c>
      <c r="M388" s="2">
        <v>1</v>
      </c>
      <c r="N388" s="2">
        <f t="shared" si="6"/>
        <v>5</v>
      </c>
    </row>
    <row r="389" spans="1:14">
      <c r="A389" s="83">
        <v>206</v>
      </c>
      <c r="B389" s="84" t="s">
        <v>99</v>
      </c>
      <c r="C389" s="84" t="s">
        <v>43</v>
      </c>
      <c r="D389" s="84" t="s">
        <v>1649</v>
      </c>
      <c r="E389" s="68">
        <v>80</v>
      </c>
      <c r="F389" s="84" t="s">
        <v>1594</v>
      </c>
      <c r="G389" s="85">
        <v>5</v>
      </c>
      <c r="H389" s="86" t="s">
        <v>596</v>
      </c>
      <c r="I389" s="86" t="s">
        <v>1588</v>
      </c>
      <c r="J389" s="86" t="s">
        <v>1687</v>
      </c>
      <c r="K389" s="166">
        <v>0</v>
      </c>
      <c r="L389" s="167">
        <v>0</v>
      </c>
      <c r="M389" s="2">
        <v>1</v>
      </c>
      <c r="N389" s="2">
        <f t="shared" si="6"/>
        <v>5</v>
      </c>
    </row>
    <row r="390" spans="1:14">
      <c r="A390" s="89">
        <v>207</v>
      </c>
      <c r="B390" s="90" t="s">
        <v>20</v>
      </c>
      <c r="C390" s="90" t="s">
        <v>328</v>
      </c>
      <c r="D390" s="90" t="s">
        <v>1649</v>
      </c>
      <c r="E390" s="68">
        <v>31</v>
      </c>
      <c r="F390" s="90" t="s">
        <v>1590</v>
      </c>
      <c r="G390" s="91">
        <v>1</v>
      </c>
      <c r="H390" s="92" t="s">
        <v>603</v>
      </c>
      <c r="I390" s="92" t="s">
        <v>1122</v>
      </c>
      <c r="J390" s="92"/>
      <c r="K390" s="168">
        <v>0</v>
      </c>
      <c r="L390" s="169">
        <v>0</v>
      </c>
      <c r="M390" s="2">
        <v>2</v>
      </c>
      <c r="N390" s="2">
        <f t="shared" si="6"/>
        <v>5</v>
      </c>
    </row>
    <row r="391" spans="1:14">
      <c r="A391" s="16">
        <v>207</v>
      </c>
      <c r="B391" s="17" t="s">
        <v>20</v>
      </c>
      <c r="C391" s="17" t="s">
        <v>328</v>
      </c>
      <c r="D391" s="17" t="s">
        <v>1649</v>
      </c>
      <c r="E391" s="68">
        <v>18</v>
      </c>
      <c r="F391" s="17" t="s">
        <v>1588</v>
      </c>
      <c r="G391" s="65">
        <v>2</v>
      </c>
      <c r="H391" s="66" t="s">
        <v>603</v>
      </c>
      <c r="I391" s="66" t="s">
        <v>1122</v>
      </c>
      <c r="J391" s="66"/>
      <c r="K391" s="157">
        <v>0</v>
      </c>
      <c r="L391" s="170">
        <v>0</v>
      </c>
      <c r="M391" s="2">
        <v>2</v>
      </c>
      <c r="N391" s="2">
        <f t="shared" si="6"/>
        <v>5</v>
      </c>
    </row>
    <row r="392" spans="1:14">
      <c r="A392" s="16">
        <v>207</v>
      </c>
      <c r="B392" s="17" t="s">
        <v>20</v>
      </c>
      <c r="C392" s="17" t="s">
        <v>328</v>
      </c>
      <c r="D392" s="17" t="s">
        <v>1649</v>
      </c>
      <c r="E392" s="68">
        <v>26</v>
      </c>
      <c r="F392" s="17" t="s">
        <v>1573</v>
      </c>
      <c r="G392" s="65">
        <v>3</v>
      </c>
      <c r="H392" s="66" t="s">
        <v>603</v>
      </c>
      <c r="I392" s="66" t="s">
        <v>1122</v>
      </c>
      <c r="J392" s="66"/>
      <c r="K392" s="157">
        <v>0</v>
      </c>
      <c r="L392" s="170">
        <v>0</v>
      </c>
      <c r="M392" s="2">
        <v>2</v>
      </c>
      <c r="N392" s="2">
        <f t="shared" si="6"/>
        <v>5</v>
      </c>
    </row>
    <row r="393" spans="1:14">
      <c r="A393" s="16">
        <v>207</v>
      </c>
      <c r="B393" s="17" t="s">
        <v>20</v>
      </c>
      <c r="C393" s="17" t="s">
        <v>328</v>
      </c>
      <c r="D393" s="17" t="s">
        <v>1649</v>
      </c>
      <c r="E393" s="68">
        <v>22</v>
      </c>
      <c r="F393" s="17" t="s">
        <v>956</v>
      </c>
      <c r="G393" s="65">
        <v>4</v>
      </c>
      <c r="H393" s="66" t="s">
        <v>603</v>
      </c>
      <c r="I393" s="66" t="s">
        <v>1122</v>
      </c>
      <c r="J393" s="66"/>
      <c r="K393" s="157">
        <v>0</v>
      </c>
      <c r="L393" s="170">
        <v>0</v>
      </c>
      <c r="M393" s="2">
        <v>2</v>
      </c>
      <c r="N393" s="2">
        <f t="shared" si="6"/>
        <v>5</v>
      </c>
    </row>
    <row r="394" spans="1:14">
      <c r="A394" s="16">
        <v>207</v>
      </c>
      <c r="B394" s="17" t="s">
        <v>20</v>
      </c>
      <c r="C394" s="17" t="s">
        <v>328</v>
      </c>
      <c r="D394" s="17" t="s">
        <v>1649</v>
      </c>
      <c r="E394" s="68">
        <v>28</v>
      </c>
      <c r="F394" s="17" t="s">
        <v>570</v>
      </c>
      <c r="G394" s="65">
        <v>5</v>
      </c>
      <c r="H394" s="66" t="s">
        <v>603</v>
      </c>
      <c r="I394" s="66" t="s">
        <v>1122</v>
      </c>
      <c r="J394" s="66"/>
      <c r="K394" s="157">
        <v>0</v>
      </c>
      <c r="L394" s="170">
        <v>0</v>
      </c>
      <c r="M394" s="2">
        <v>2</v>
      </c>
      <c r="N394" s="2">
        <f t="shared" si="6"/>
        <v>5</v>
      </c>
    </row>
    <row r="395" spans="1:14">
      <c r="A395" s="83">
        <v>208</v>
      </c>
      <c r="B395" s="84" t="s">
        <v>839</v>
      </c>
      <c r="C395" s="84" t="s">
        <v>838</v>
      </c>
      <c r="D395" s="84" t="s">
        <v>1649</v>
      </c>
      <c r="E395" s="68">
        <v>11</v>
      </c>
      <c r="F395" s="84" t="s">
        <v>1595</v>
      </c>
      <c r="G395" s="85">
        <v>1</v>
      </c>
      <c r="H395" s="86" t="s">
        <v>975</v>
      </c>
      <c r="I395" s="86"/>
      <c r="J395" s="86" t="s">
        <v>554</v>
      </c>
      <c r="K395" s="166">
        <v>0</v>
      </c>
      <c r="L395" s="167">
        <v>0</v>
      </c>
      <c r="M395" s="2">
        <v>1</v>
      </c>
      <c r="N395" s="2">
        <f t="shared" si="6"/>
        <v>5</v>
      </c>
    </row>
    <row r="396" spans="1:14">
      <c r="A396" s="83">
        <v>208</v>
      </c>
      <c r="B396" s="84" t="s">
        <v>839</v>
      </c>
      <c r="C396" s="84" t="s">
        <v>838</v>
      </c>
      <c r="D396" s="84" t="s">
        <v>1649</v>
      </c>
      <c r="E396" s="68">
        <v>52</v>
      </c>
      <c r="F396" s="84" t="s">
        <v>561</v>
      </c>
      <c r="G396" s="85">
        <v>2</v>
      </c>
      <c r="H396" s="86" t="s">
        <v>975</v>
      </c>
      <c r="I396" s="86"/>
      <c r="J396" s="86" t="s">
        <v>554</v>
      </c>
      <c r="K396" s="166">
        <v>0</v>
      </c>
      <c r="L396" s="167">
        <v>0</v>
      </c>
      <c r="M396" s="2">
        <v>1</v>
      </c>
      <c r="N396" s="2">
        <f t="shared" si="6"/>
        <v>5</v>
      </c>
    </row>
    <row r="397" spans="1:14">
      <c r="A397" s="83">
        <v>208</v>
      </c>
      <c r="B397" s="84" t="s">
        <v>839</v>
      </c>
      <c r="C397" s="84" t="s">
        <v>838</v>
      </c>
      <c r="D397" s="84" t="s">
        <v>1649</v>
      </c>
      <c r="E397" s="68">
        <v>96</v>
      </c>
      <c r="F397" s="84" t="s">
        <v>938</v>
      </c>
      <c r="G397" s="85">
        <v>3</v>
      </c>
      <c r="H397" s="86" t="s">
        <v>975</v>
      </c>
      <c r="I397" s="86"/>
      <c r="J397" s="86" t="s">
        <v>554</v>
      </c>
      <c r="K397" s="166">
        <v>0</v>
      </c>
      <c r="L397" s="167">
        <v>0</v>
      </c>
      <c r="M397" s="2">
        <v>1</v>
      </c>
      <c r="N397" s="2">
        <f t="shared" si="6"/>
        <v>5</v>
      </c>
    </row>
    <row r="398" spans="1:14">
      <c r="A398" s="83">
        <v>208</v>
      </c>
      <c r="B398" s="84" t="s">
        <v>839</v>
      </c>
      <c r="C398" s="84" t="s">
        <v>838</v>
      </c>
      <c r="D398" s="84" t="s">
        <v>1649</v>
      </c>
      <c r="E398" s="68">
        <v>55</v>
      </c>
      <c r="F398" s="84" t="s">
        <v>1585</v>
      </c>
      <c r="G398" s="85">
        <v>4</v>
      </c>
      <c r="H398" s="86" t="s">
        <v>975</v>
      </c>
      <c r="I398" s="86"/>
      <c r="J398" s="86" t="s">
        <v>554</v>
      </c>
      <c r="K398" s="166">
        <v>0</v>
      </c>
      <c r="L398" s="167">
        <v>0</v>
      </c>
      <c r="M398" s="2">
        <v>1</v>
      </c>
      <c r="N398" s="2">
        <f t="shared" si="6"/>
        <v>5</v>
      </c>
    </row>
    <row r="399" spans="1:14">
      <c r="A399" s="83">
        <v>208</v>
      </c>
      <c r="B399" s="84" t="s">
        <v>839</v>
      </c>
      <c r="C399" s="84" t="s">
        <v>838</v>
      </c>
      <c r="D399" s="84" t="s">
        <v>1649</v>
      </c>
      <c r="E399" s="68">
        <v>10</v>
      </c>
      <c r="F399" s="84" t="s">
        <v>1596</v>
      </c>
      <c r="G399" s="85">
        <v>5</v>
      </c>
      <c r="H399" s="86" t="s">
        <v>975</v>
      </c>
      <c r="I399" s="86"/>
      <c r="J399" s="86" t="s">
        <v>554</v>
      </c>
      <c r="K399" s="166">
        <v>0</v>
      </c>
      <c r="L399" s="167">
        <v>0</v>
      </c>
      <c r="M399" s="2">
        <v>1</v>
      </c>
      <c r="N399" s="2">
        <f t="shared" si="6"/>
        <v>5</v>
      </c>
    </row>
    <row r="400" spans="1:14">
      <c r="A400" s="89">
        <v>209</v>
      </c>
      <c r="B400" s="90" t="s">
        <v>329</v>
      </c>
      <c r="C400" s="90" t="s">
        <v>184</v>
      </c>
      <c r="D400" s="90" t="s">
        <v>1649</v>
      </c>
      <c r="E400" s="68">
        <v>8</v>
      </c>
      <c r="F400" s="90" t="s">
        <v>565</v>
      </c>
      <c r="G400" s="91">
        <v>1</v>
      </c>
      <c r="H400" s="92" t="s">
        <v>591</v>
      </c>
      <c r="I400" s="92" t="s">
        <v>1123</v>
      </c>
      <c r="J400" s="92"/>
      <c r="K400" s="168">
        <v>0</v>
      </c>
      <c r="L400" s="169">
        <v>0</v>
      </c>
      <c r="M400" s="2">
        <v>2</v>
      </c>
      <c r="N400" s="2">
        <f t="shared" si="6"/>
        <v>5</v>
      </c>
    </row>
    <row r="401" spans="1:14">
      <c r="A401" s="16">
        <v>209</v>
      </c>
      <c r="B401" s="17" t="s">
        <v>329</v>
      </c>
      <c r="C401" s="17" t="s">
        <v>184</v>
      </c>
      <c r="D401" s="17" t="s">
        <v>1649</v>
      </c>
      <c r="E401" s="68">
        <v>9</v>
      </c>
      <c r="F401" s="17" t="s">
        <v>537</v>
      </c>
      <c r="G401" s="65">
        <v>2</v>
      </c>
      <c r="H401" s="66" t="s">
        <v>591</v>
      </c>
      <c r="I401" s="66" t="s">
        <v>1123</v>
      </c>
      <c r="J401" s="66"/>
      <c r="K401" s="157">
        <v>0</v>
      </c>
      <c r="L401" s="170">
        <v>0</v>
      </c>
      <c r="M401" s="2">
        <v>2</v>
      </c>
      <c r="N401" s="2">
        <f t="shared" si="6"/>
        <v>5</v>
      </c>
    </row>
    <row r="402" spans="1:14">
      <c r="A402" s="16">
        <v>209</v>
      </c>
      <c r="B402" s="17" t="s">
        <v>329</v>
      </c>
      <c r="C402" s="17" t="s">
        <v>184</v>
      </c>
      <c r="D402" s="17" t="s">
        <v>1649</v>
      </c>
      <c r="E402" s="68">
        <v>16</v>
      </c>
      <c r="F402" s="17" t="s">
        <v>544</v>
      </c>
      <c r="G402" s="65">
        <v>3</v>
      </c>
      <c r="H402" s="66" t="s">
        <v>591</v>
      </c>
      <c r="I402" s="66" t="s">
        <v>1123</v>
      </c>
      <c r="J402" s="66"/>
      <c r="K402" s="157">
        <v>0</v>
      </c>
      <c r="L402" s="170">
        <v>0</v>
      </c>
      <c r="M402" s="2">
        <v>2</v>
      </c>
      <c r="N402" s="2">
        <f t="shared" si="6"/>
        <v>5</v>
      </c>
    </row>
    <row r="403" spans="1:14">
      <c r="A403" s="16">
        <v>209</v>
      </c>
      <c r="B403" s="17" t="s">
        <v>329</v>
      </c>
      <c r="C403" s="17" t="s">
        <v>184</v>
      </c>
      <c r="D403" s="17" t="s">
        <v>1649</v>
      </c>
      <c r="E403" s="68">
        <v>15</v>
      </c>
      <c r="F403" s="17" t="s">
        <v>543</v>
      </c>
      <c r="G403" s="65">
        <v>4</v>
      </c>
      <c r="H403" s="66" t="s">
        <v>591</v>
      </c>
      <c r="I403" s="66" t="s">
        <v>1123</v>
      </c>
      <c r="J403" s="66"/>
      <c r="K403" s="157">
        <v>0</v>
      </c>
      <c r="L403" s="170">
        <v>0</v>
      </c>
      <c r="M403" s="2">
        <v>2</v>
      </c>
      <c r="N403" s="2">
        <f t="shared" si="6"/>
        <v>5</v>
      </c>
    </row>
    <row r="404" spans="1:14">
      <c r="A404" s="16">
        <v>209</v>
      </c>
      <c r="B404" s="17" t="s">
        <v>329</v>
      </c>
      <c r="C404" s="17" t="s">
        <v>184</v>
      </c>
      <c r="D404" s="17" t="s">
        <v>1649</v>
      </c>
      <c r="E404" s="68">
        <v>11</v>
      </c>
      <c r="F404" s="17" t="s">
        <v>1595</v>
      </c>
      <c r="G404" s="65">
        <v>5</v>
      </c>
      <c r="H404" s="66" t="s">
        <v>591</v>
      </c>
      <c r="I404" s="66" t="s">
        <v>1123</v>
      </c>
      <c r="J404" s="66"/>
      <c r="K404" s="157">
        <v>0</v>
      </c>
      <c r="L404" s="170">
        <v>0</v>
      </c>
      <c r="M404" s="2">
        <v>2</v>
      </c>
      <c r="N404" s="2">
        <f t="shared" si="6"/>
        <v>5</v>
      </c>
    </row>
    <row r="405" spans="1:14">
      <c r="A405" s="83">
        <v>210</v>
      </c>
      <c r="B405" s="84" t="s">
        <v>842</v>
      </c>
      <c r="C405" s="84" t="s">
        <v>841</v>
      </c>
      <c r="D405" s="84" t="s">
        <v>1649</v>
      </c>
      <c r="E405" s="68">
        <v>89</v>
      </c>
      <c r="F405" s="84" t="s">
        <v>1583</v>
      </c>
      <c r="G405" s="85">
        <v>1</v>
      </c>
      <c r="H405" s="86" t="s">
        <v>587</v>
      </c>
      <c r="I405" s="86" t="s">
        <v>1583</v>
      </c>
      <c r="J405" s="86"/>
      <c r="K405" s="166">
        <v>0</v>
      </c>
      <c r="L405" s="167">
        <v>0</v>
      </c>
      <c r="M405" s="2">
        <v>1</v>
      </c>
      <c r="N405" s="2">
        <f t="shared" si="6"/>
        <v>3</v>
      </c>
    </row>
    <row r="406" spans="1:14">
      <c r="A406" s="83">
        <v>210</v>
      </c>
      <c r="B406" s="84" t="s">
        <v>842</v>
      </c>
      <c r="C406" s="84" t="s">
        <v>841</v>
      </c>
      <c r="D406" s="84" t="s">
        <v>1649</v>
      </c>
      <c r="E406" s="68">
        <v>34</v>
      </c>
      <c r="F406" s="84" t="s">
        <v>1581</v>
      </c>
      <c r="G406" s="85">
        <v>2</v>
      </c>
      <c r="H406" s="86" t="s">
        <v>587</v>
      </c>
      <c r="I406" s="86" t="s">
        <v>1583</v>
      </c>
      <c r="J406" s="86"/>
      <c r="K406" s="166">
        <v>0</v>
      </c>
      <c r="L406" s="167">
        <v>0</v>
      </c>
      <c r="M406" s="2">
        <v>1</v>
      </c>
      <c r="N406" s="2">
        <f t="shared" si="6"/>
        <v>3</v>
      </c>
    </row>
    <row r="407" spans="1:14">
      <c r="A407" s="83">
        <v>210</v>
      </c>
      <c r="B407" s="84" t="s">
        <v>842</v>
      </c>
      <c r="C407" s="84" t="s">
        <v>841</v>
      </c>
      <c r="D407" s="84" t="s">
        <v>1649</v>
      </c>
      <c r="E407" s="68">
        <v>49</v>
      </c>
      <c r="F407" s="84" t="s">
        <v>1591</v>
      </c>
      <c r="G407" s="85">
        <v>3</v>
      </c>
      <c r="H407" s="86" t="s">
        <v>587</v>
      </c>
      <c r="I407" s="86" t="s">
        <v>1583</v>
      </c>
      <c r="J407" s="86"/>
      <c r="K407" s="166">
        <v>0</v>
      </c>
      <c r="L407" s="167">
        <v>0</v>
      </c>
      <c r="M407" s="2">
        <v>1</v>
      </c>
      <c r="N407" s="2">
        <f t="shared" si="6"/>
        <v>3</v>
      </c>
    </row>
    <row r="408" spans="1:14">
      <c r="A408" s="89">
        <v>211</v>
      </c>
      <c r="B408" s="90" t="s">
        <v>16</v>
      </c>
      <c r="C408" s="90" t="s">
        <v>330</v>
      </c>
      <c r="D408" s="90" t="s">
        <v>1649</v>
      </c>
      <c r="E408" s="68">
        <v>59</v>
      </c>
      <c r="F408" s="90" t="s">
        <v>554</v>
      </c>
      <c r="G408" s="91">
        <v>1</v>
      </c>
      <c r="H408" s="92" t="s">
        <v>587</v>
      </c>
      <c r="I408" s="92" t="s">
        <v>554</v>
      </c>
      <c r="J408" s="92"/>
      <c r="K408" s="168">
        <v>0</v>
      </c>
      <c r="L408" s="169" t="s">
        <v>1056</v>
      </c>
      <c r="M408" s="2">
        <v>2</v>
      </c>
      <c r="N408" s="2">
        <f t="shared" si="6"/>
        <v>5</v>
      </c>
    </row>
    <row r="409" spans="1:14">
      <c r="A409" s="16">
        <v>211</v>
      </c>
      <c r="B409" s="17" t="s">
        <v>16</v>
      </c>
      <c r="C409" s="17" t="s">
        <v>330</v>
      </c>
      <c r="D409" s="17" t="s">
        <v>1649</v>
      </c>
      <c r="E409" s="68">
        <v>30</v>
      </c>
      <c r="F409" s="17" t="s">
        <v>572</v>
      </c>
      <c r="G409" s="65">
        <v>2</v>
      </c>
      <c r="H409" s="66" t="s">
        <v>587</v>
      </c>
      <c r="I409" s="66" t="s">
        <v>554</v>
      </c>
      <c r="J409" s="66"/>
      <c r="K409" s="157">
        <v>0</v>
      </c>
      <c r="L409" s="170" t="s">
        <v>1056</v>
      </c>
      <c r="M409" s="2">
        <v>2</v>
      </c>
      <c r="N409" s="2">
        <f t="shared" si="6"/>
        <v>5</v>
      </c>
    </row>
    <row r="410" spans="1:14">
      <c r="A410" s="16">
        <v>211</v>
      </c>
      <c r="B410" s="17" t="s">
        <v>16</v>
      </c>
      <c r="C410" s="17" t="s">
        <v>330</v>
      </c>
      <c r="D410" s="17" t="s">
        <v>1649</v>
      </c>
      <c r="E410" s="68">
        <v>54</v>
      </c>
      <c r="F410" s="17" t="s">
        <v>1603</v>
      </c>
      <c r="G410" s="65">
        <v>3</v>
      </c>
      <c r="H410" s="66" t="s">
        <v>587</v>
      </c>
      <c r="I410" s="66" t="s">
        <v>554</v>
      </c>
      <c r="J410" s="66"/>
      <c r="K410" s="157">
        <v>0</v>
      </c>
      <c r="L410" s="170" t="s">
        <v>1056</v>
      </c>
      <c r="M410" s="2">
        <v>2</v>
      </c>
      <c r="N410" s="2">
        <f t="shared" si="6"/>
        <v>5</v>
      </c>
    </row>
    <row r="411" spans="1:14">
      <c r="A411" s="16">
        <v>211</v>
      </c>
      <c r="B411" s="17" t="s">
        <v>16</v>
      </c>
      <c r="C411" s="17" t="s">
        <v>330</v>
      </c>
      <c r="D411" s="17" t="s">
        <v>1649</v>
      </c>
      <c r="E411" s="68">
        <v>88</v>
      </c>
      <c r="F411" s="17" t="s">
        <v>953</v>
      </c>
      <c r="G411" s="65">
        <v>4</v>
      </c>
      <c r="H411" s="66" t="s">
        <v>587</v>
      </c>
      <c r="I411" s="66" t="s">
        <v>554</v>
      </c>
      <c r="J411" s="66"/>
      <c r="K411" s="157">
        <v>0</v>
      </c>
      <c r="L411" s="170" t="s">
        <v>1056</v>
      </c>
      <c r="M411" s="2">
        <v>2</v>
      </c>
      <c r="N411" s="2">
        <f t="shared" si="6"/>
        <v>5</v>
      </c>
    </row>
    <row r="412" spans="1:14">
      <c r="A412" s="16">
        <v>211</v>
      </c>
      <c r="B412" s="17" t="s">
        <v>16</v>
      </c>
      <c r="C412" s="17" t="s">
        <v>330</v>
      </c>
      <c r="D412" s="17" t="s">
        <v>1649</v>
      </c>
      <c r="E412" s="68">
        <v>93</v>
      </c>
      <c r="F412" s="17" t="s">
        <v>942</v>
      </c>
      <c r="G412" s="65">
        <v>5</v>
      </c>
      <c r="H412" s="66" t="s">
        <v>587</v>
      </c>
      <c r="I412" s="66" t="s">
        <v>554</v>
      </c>
      <c r="J412" s="66"/>
      <c r="K412" s="157">
        <v>0</v>
      </c>
      <c r="L412" s="170" t="s">
        <v>1056</v>
      </c>
      <c r="M412" s="2">
        <v>2</v>
      </c>
      <c r="N412" s="2">
        <f t="shared" si="6"/>
        <v>5</v>
      </c>
    </row>
    <row r="413" spans="1:14">
      <c r="A413" s="99">
        <v>212</v>
      </c>
      <c r="B413" s="100" t="s">
        <v>332</v>
      </c>
      <c r="C413" s="100" t="s">
        <v>331</v>
      </c>
      <c r="D413" s="100" t="s">
        <v>1649</v>
      </c>
      <c r="E413" s="68">
        <v>34</v>
      </c>
      <c r="F413" s="100" t="s">
        <v>1581</v>
      </c>
      <c r="G413" s="101">
        <v>1</v>
      </c>
      <c r="H413" s="102" t="s">
        <v>598</v>
      </c>
      <c r="I413" s="102" t="s">
        <v>1595</v>
      </c>
      <c r="J413" s="102"/>
      <c r="K413" s="171" t="s">
        <v>1154</v>
      </c>
      <c r="L413" s="172" t="s">
        <v>1038</v>
      </c>
      <c r="M413" s="2">
        <v>1</v>
      </c>
      <c r="N413" s="2">
        <f t="shared" si="6"/>
        <v>4</v>
      </c>
    </row>
    <row r="414" spans="1:14">
      <c r="A414" s="83">
        <v>212</v>
      </c>
      <c r="B414" s="84" t="s">
        <v>332</v>
      </c>
      <c r="C414" s="84" t="s">
        <v>331</v>
      </c>
      <c r="D414" s="84" t="s">
        <v>1649</v>
      </c>
      <c r="E414" s="68">
        <v>38</v>
      </c>
      <c r="F414" s="84" t="s">
        <v>1577</v>
      </c>
      <c r="G414" s="85">
        <v>2</v>
      </c>
      <c r="H414" s="86" t="s">
        <v>598</v>
      </c>
      <c r="I414" s="86" t="s">
        <v>1595</v>
      </c>
      <c r="J414" s="86"/>
      <c r="K414" s="166" t="s">
        <v>1154</v>
      </c>
      <c r="L414" s="167" t="s">
        <v>1038</v>
      </c>
      <c r="M414" s="2">
        <v>1</v>
      </c>
      <c r="N414" s="2">
        <f t="shared" si="6"/>
        <v>4</v>
      </c>
    </row>
    <row r="415" spans="1:14">
      <c r="A415" s="83">
        <v>212</v>
      </c>
      <c r="B415" s="84" t="s">
        <v>332</v>
      </c>
      <c r="C415" s="84" t="s">
        <v>331</v>
      </c>
      <c r="D415" s="84" t="s">
        <v>1649</v>
      </c>
      <c r="E415" s="68">
        <v>2</v>
      </c>
      <c r="F415" s="84" t="s">
        <v>529</v>
      </c>
      <c r="G415" s="85">
        <v>3</v>
      </c>
      <c r="H415" s="86" t="s">
        <v>598</v>
      </c>
      <c r="I415" s="86" t="s">
        <v>1595</v>
      </c>
      <c r="J415" s="86"/>
      <c r="K415" s="166" t="s">
        <v>1154</v>
      </c>
      <c r="L415" s="167" t="s">
        <v>1038</v>
      </c>
      <c r="M415" s="2">
        <v>1</v>
      </c>
      <c r="N415" s="2">
        <f t="shared" si="6"/>
        <v>4</v>
      </c>
    </row>
    <row r="416" spans="1:14">
      <c r="A416" s="83">
        <v>212</v>
      </c>
      <c r="B416" s="84" t="s">
        <v>332</v>
      </c>
      <c r="C416" s="84" t="s">
        <v>331</v>
      </c>
      <c r="D416" s="84" t="s">
        <v>1649</v>
      </c>
      <c r="E416" s="68">
        <v>76</v>
      </c>
      <c r="F416" s="84" t="s">
        <v>1613</v>
      </c>
      <c r="G416" s="85">
        <v>4</v>
      </c>
      <c r="H416" s="86" t="s">
        <v>598</v>
      </c>
      <c r="I416" s="86" t="s">
        <v>1595</v>
      </c>
      <c r="J416" s="86"/>
      <c r="K416" s="166" t="s">
        <v>1154</v>
      </c>
      <c r="L416" s="167" t="s">
        <v>1038</v>
      </c>
      <c r="M416" s="2">
        <v>1</v>
      </c>
      <c r="N416" s="2">
        <f t="shared" si="6"/>
        <v>4</v>
      </c>
    </row>
    <row r="417" spans="1:14">
      <c r="A417" s="16">
        <v>213</v>
      </c>
      <c r="B417" s="17" t="s">
        <v>340</v>
      </c>
      <c r="C417" s="17" t="s">
        <v>844</v>
      </c>
      <c r="D417" s="17" t="s">
        <v>1650</v>
      </c>
      <c r="E417" s="68">
        <v>22</v>
      </c>
      <c r="F417" s="17" t="s">
        <v>956</v>
      </c>
      <c r="G417" s="65">
        <v>1</v>
      </c>
      <c r="H417" s="66" t="s">
        <v>994</v>
      </c>
      <c r="I417" s="66" t="s">
        <v>1039</v>
      </c>
      <c r="J417" s="66" t="s">
        <v>956</v>
      </c>
      <c r="K417" s="157">
        <v>0</v>
      </c>
      <c r="L417" s="170">
        <v>0</v>
      </c>
      <c r="M417" s="2">
        <v>2</v>
      </c>
      <c r="N417" s="2">
        <f t="shared" si="6"/>
        <v>1</v>
      </c>
    </row>
    <row r="418" spans="1:14">
      <c r="A418" s="83">
        <v>214</v>
      </c>
      <c r="B418" s="84" t="s">
        <v>334</v>
      </c>
      <c r="C418" s="84" t="s">
        <v>333</v>
      </c>
      <c r="D418" s="84" t="s">
        <v>1650</v>
      </c>
      <c r="E418" s="68">
        <v>92</v>
      </c>
      <c r="F418" s="84" t="s">
        <v>531</v>
      </c>
      <c r="G418" s="85">
        <v>1</v>
      </c>
      <c r="H418" s="86" t="s">
        <v>587</v>
      </c>
      <c r="I418" s="86" t="s">
        <v>1124</v>
      </c>
      <c r="J418" s="86"/>
      <c r="K418" s="166" t="s">
        <v>1159</v>
      </c>
      <c r="L418" s="167">
        <v>0</v>
      </c>
      <c r="M418" s="2">
        <v>1</v>
      </c>
      <c r="N418" s="2">
        <f t="shared" si="6"/>
        <v>5</v>
      </c>
    </row>
    <row r="419" spans="1:14">
      <c r="A419" s="83">
        <v>214</v>
      </c>
      <c r="B419" s="84" t="s">
        <v>334</v>
      </c>
      <c r="C419" s="84" t="s">
        <v>333</v>
      </c>
      <c r="D419" s="84" t="s">
        <v>1650</v>
      </c>
      <c r="E419" s="68">
        <v>34</v>
      </c>
      <c r="F419" s="84" t="s">
        <v>1581</v>
      </c>
      <c r="G419" s="85">
        <v>2</v>
      </c>
      <c r="H419" s="86" t="s">
        <v>587</v>
      </c>
      <c r="I419" s="86" t="s">
        <v>1124</v>
      </c>
      <c r="J419" s="86"/>
      <c r="K419" s="166" t="s">
        <v>1159</v>
      </c>
      <c r="L419" s="167">
        <v>0</v>
      </c>
      <c r="M419" s="2">
        <v>1</v>
      </c>
      <c r="N419" s="2">
        <f t="shared" si="6"/>
        <v>5</v>
      </c>
    </row>
    <row r="420" spans="1:14">
      <c r="A420" s="83">
        <v>214</v>
      </c>
      <c r="B420" s="84" t="s">
        <v>334</v>
      </c>
      <c r="C420" s="84" t="s">
        <v>333</v>
      </c>
      <c r="D420" s="84" t="s">
        <v>1650</v>
      </c>
      <c r="E420" s="68">
        <v>36</v>
      </c>
      <c r="F420" s="84" t="s">
        <v>557</v>
      </c>
      <c r="G420" s="85">
        <v>3</v>
      </c>
      <c r="H420" s="86" t="s">
        <v>587</v>
      </c>
      <c r="I420" s="86" t="s">
        <v>1124</v>
      </c>
      <c r="J420" s="86"/>
      <c r="K420" s="166" t="s">
        <v>1159</v>
      </c>
      <c r="L420" s="167">
        <v>0</v>
      </c>
      <c r="M420" s="2">
        <v>1</v>
      </c>
      <c r="N420" s="2">
        <f t="shared" si="6"/>
        <v>5</v>
      </c>
    </row>
    <row r="421" spans="1:14">
      <c r="A421" s="83">
        <v>214</v>
      </c>
      <c r="B421" s="84" t="s">
        <v>334</v>
      </c>
      <c r="C421" s="84" t="s">
        <v>333</v>
      </c>
      <c r="D421" s="84" t="s">
        <v>1650</v>
      </c>
      <c r="E421" s="68">
        <v>37</v>
      </c>
      <c r="F421" s="84" t="s">
        <v>1606</v>
      </c>
      <c r="G421" s="85">
        <v>4</v>
      </c>
      <c r="H421" s="86" t="s">
        <v>587</v>
      </c>
      <c r="I421" s="86" t="s">
        <v>1124</v>
      </c>
      <c r="J421" s="86"/>
      <c r="K421" s="166" t="s">
        <v>1159</v>
      </c>
      <c r="L421" s="167">
        <v>0</v>
      </c>
      <c r="M421" s="2">
        <v>1</v>
      </c>
      <c r="N421" s="2">
        <f t="shared" si="6"/>
        <v>5</v>
      </c>
    </row>
    <row r="422" spans="1:14">
      <c r="A422" s="83">
        <v>214</v>
      </c>
      <c r="B422" s="84" t="s">
        <v>334</v>
      </c>
      <c r="C422" s="84" t="s">
        <v>333</v>
      </c>
      <c r="D422" s="84" t="s">
        <v>1650</v>
      </c>
      <c r="E422" s="68">
        <v>38</v>
      </c>
      <c r="F422" s="84" t="s">
        <v>1577</v>
      </c>
      <c r="G422" s="85">
        <v>5</v>
      </c>
      <c r="H422" s="86" t="s">
        <v>587</v>
      </c>
      <c r="I422" s="86" t="s">
        <v>1124</v>
      </c>
      <c r="J422" s="86"/>
      <c r="K422" s="166" t="s">
        <v>1159</v>
      </c>
      <c r="L422" s="167">
        <v>0</v>
      </c>
      <c r="M422" s="2">
        <v>1</v>
      </c>
      <c r="N422" s="2">
        <f t="shared" si="6"/>
        <v>5</v>
      </c>
    </row>
    <row r="423" spans="1:14" ht="24">
      <c r="A423" s="89">
        <v>215</v>
      </c>
      <c r="B423" s="90" t="s">
        <v>16</v>
      </c>
      <c r="C423" s="90" t="s">
        <v>335</v>
      </c>
      <c r="D423" s="90" t="s">
        <v>1650</v>
      </c>
      <c r="E423" s="68">
        <v>72</v>
      </c>
      <c r="F423" s="90" t="s">
        <v>582</v>
      </c>
      <c r="G423" s="91">
        <v>1</v>
      </c>
      <c r="H423" s="92" t="s">
        <v>596</v>
      </c>
      <c r="I423" s="92" t="s">
        <v>536</v>
      </c>
      <c r="J423" s="94" t="s">
        <v>1697</v>
      </c>
      <c r="K423" s="168">
        <v>0</v>
      </c>
      <c r="L423" s="169" t="s">
        <v>1056</v>
      </c>
      <c r="M423" s="2">
        <v>2</v>
      </c>
      <c r="N423" s="2">
        <f t="shared" si="6"/>
        <v>5</v>
      </c>
    </row>
    <row r="424" spans="1:14" ht="24">
      <c r="A424" s="16">
        <v>215</v>
      </c>
      <c r="B424" s="17" t="s">
        <v>16</v>
      </c>
      <c r="C424" s="17" t="s">
        <v>335</v>
      </c>
      <c r="D424" s="17" t="s">
        <v>1650</v>
      </c>
      <c r="E424" s="68">
        <v>64</v>
      </c>
      <c r="F424" s="17" t="s">
        <v>1592</v>
      </c>
      <c r="G424" s="65">
        <v>2</v>
      </c>
      <c r="H424" s="66" t="s">
        <v>596</v>
      </c>
      <c r="I424" s="66" t="s">
        <v>536</v>
      </c>
      <c r="J424" s="69" t="s">
        <v>1697</v>
      </c>
      <c r="K424" s="157">
        <v>0</v>
      </c>
      <c r="L424" s="170" t="s">
        <v>1056</v>
      </c>
      <c r="M424" s="2">
        <v>2</v>
      </c>
      <c r="N424" s="2">
        <f t="shared" si="6"/>
        <v>5</v>
      </c>
    </row>
    <row r="425" spans="1:14" ht="24">
      <c r="A425" s="16">
        <v>215</v>
      </c>
      <c r="B425" s="17" t="s">
        <v>16</v>
      </c>
      <c r="C425" s="17" t="s">
        <v>335</v>
      </c>
      <c r="D425" s="17" t="s">
        <v>1650</v>
      </c>
      <c r="E425" s="68">
        <v>61</v>
      </c>
      <c r="F425" s="17" t="s">
        <v>1608</v>
      </c>
      <c r="G425" s="65">
        <v>3</v>
      </c>
      <c r="H425" s="66" t="s">
        <v>596</v>
      </c>
      <c r="I425" s="66" t="s">
        <v>536</v>
      </c>
      <c r="J425" s="69" t="s">
        <v>1697</v>
      </c>
      <c r="K425" s="157">
        <v>0</v>
      </c>
      <c r="L425" s="170" t="s">
        <v>1056</v>
      </c>
      <c r="M425" s="2">
        <v>2</v>
      </c>
      <c r="N425" s="2">
        <f t="shared" si="6"/>
        <v>5</v>
      </c>
    </row>
    <row r="426" spans="1:14" ht="24">
      <c r="A426" s="16">
        <v>215</v>
      </c>
      <c r="B426" s="17" t="s">
        <v>16</v>
      </c>
      <c r="C426" s="17" t="s">
        <v>335</v>
      </c>
      <c r="D426" s="17" t="s">
        <v>1650</v>
      </c>
      <c r="E426" s="68">
        <v>69</v>
      </c>
      <c r="F426" s="17" t="s">
        <v>1600</v>
      </c>
      <c r="G426" s="65">
        <v>4</v>
      </c>
      <c r="H426" s="66" t="s">
        <v>596</v>
      </c>
      <c r="I426" s="66" t="s">
        <v>536</v>
      </c>
      <c r="J426" s="69" t="s">
        <v>1697</v>
      </c>
      <c r="K426" s="157">
        <v>0</v>
      </c>
      <c r="L426" s="170" t="s">
        <v>1056</v>
      </c>
      <c r="M426" s="2">
        <v>2</v>
      </c>
      <c r="N426" s="2">
        <f t="shared" si="6"/>
        <v>5</v>
      </c>
    </row>
    <row r="427" spans="1:14" ht="24">
      <c r="A427" s="16">
        <v>215</v>
      </c>
      <c r="B427" s="17" t="s">
        <v>16</v>
      </c>
      <c r="C427" s="17" t="s">
        <v>335</v>
      </c>
      <c r="D427" s="17" t="s">
        <v>1650</v>
      </c>
      <c r="E427" s="68">
        <v>9</v>
      </c>
      <c r="F427" s="17" t="s">
        <v>537</v>
      </c>
      <c r="G427" s="65">
        <v>5</v>
      </c>
      <c r="H427" s="66" t="s">
        <v>596</v>
      </c>
      <c r="I427" s="66" t="s">
        <v>536</v>
      </c>
      <c r="J427" s="69" t="s">
        <v>1697</v>
      </c>
      <c r="K427" s="157">
        <v>0</v>
      </c>
      <c r="L427" s="170" t="s">
        <v>1056</v>
      </c>
      <c r="M427" s="2">
        <v>2</v>
      </c>
      <c r="N427" s="2">
        <f t="shared" si="6"/>
        <v>5</v>
      </c>
    </row>
    <row r="428" spans="1:14">
      <c r="A428" s="83">
        <v>217</v>
      </c>
      <c r="B428" s="84" t="s">
        <v>142</v>
      </c>
      <c r="C428" s="84" t="s">
        <v>141</v>
      </c>
      <c r="D428" s="84" t="s">
        <v>1651</v>
      </c>
      <c r="E428" s="68">
        <v>31</v>
      </c>
      <c r="F428" s="84" t="s">
        <v>1590</v>
      </c>
      <c r="G428" s="85">
        <v>1</v>
      </c>
      <c r="H428" s="86" t="s">
        <v>590</v>
      </c>
      <c r="I428" s="86"/>
      <c r="J428" s="86" t="s">
        <v>1605</v>
      </c>
      <c r="K428" s="166">
        <v>0</v>
      </c>
      <c r="L428" s="167">
        <v>0</v>
      </c>
      <c r="M428" s="2">
        <v>1</v>
      </c>
      <c r="N428" s="2">
        <f t="shared" si="6"/>
        <v>4</v>
      </c>
    </row>
    <row r="429" spans="1:14">
      <c r="A429" s="83">
        <v>217</v>
      </c>
      <c r="B429" s="84" t="s">
        <v>142</v>
      </c>
      <c r="C429" s="84" t="s">
        <v>141</v>
      </c>
      <c r="D429" s="84" t="s">
        <v>1651</v>
      </c>
      <c r="E429" s="68">
        <v>78</v>
      </c>
      <c r="F429" s="84" t="s">
        <v>1589</v>
      </c>
      <c r="G429" s="85">
        <v>2</v>
      </c>
      <c r="H429" s="86" t="s">
        <v>590</v>
      </c>
      <c r="I429" s="86"/>
      <c r="J429" s="86" t="s">
        <v>1605</v>
      </c>
      <c r="K429" s="166">
        <v>0</v>
      </c>
      <c r="L429" s="167">
        <v>0</v>
      </c>
      <c r="M429" s="2">
        <v>1</v>
      </c>
      <c r="N429" s="2">
        <f t="shared" si="6"/>
        <v>4</v>
      </c>
    </row>
    <row r="430" spans="1:14">
      <c r="A430" s="83">
        <v>217</v>
      </c>
      <c r="B430" s="84" t="s">
        <v>142</v>
      </c>
      <c r="C430" s="84" t="s">
        <v>141</v>
      </c>
      <c r="D430" s="84" t="s">
        <v>1651</v>
      </c>
      <c r="E430" s="68">
        <v>53</v>
      </c>
      <c r="F430" s="84" t="s">
        <v>562</v>
      </c>
      <c r="G430" s="85">
        <v>3</v>
      </c>
      <c r="H430" s="86" t="s">
        <v>590</v>
      </c>
      <c r="I430" s="86"/>
      <c r="J430" s="86" t="s">
        <v>1605</v>
      </c>
      <c r="K430" s="166">
        <v>0</v>
      </c>
      <c r="L430" s="167">
        <v>0</v>
      </c>
      <c r="M430" s="2">
        <v>1</v>
      </c>
      <c r="N430" s="2">
        <f t="shared" si="6"/>
        <v>4</v>
      </c>
    </row>
    <row r="431" spans="1:14">
      <c r="A431" s="83">
        <v>217</v>
      </c>
      <c r="B431" s="84" t="s">
        <v>142</v>
      </c>
      <c r="C431" s="84" t="s">
        <v>141</v>
      </c>
      <c r="D431" s="84" t="s">
        <v>1651</v>
      </c>
      <c r="E431" s="68">
        <v>54</v>
      </c>
      <c r="F431" s="84" t="s">
        <v>1603</v>
      </c>
      <c r="G431" s="85">
        <v>4</v>
      </c>
      <c r="H431" s="86" t="s">
        <v>590</v>
      </c>
      <c r="I431" s="86"/>
      <c r="J431" s="86" t="s">
        <v>1605</v>
      </c>
      <c r="K431" s="166">
        <v>0</v>
      </c>
      <c r="L431" s="167">
        <v>0</v>
      </c>
      <c r="M431" s="2">
        <v>1</v>
      </c>
      <c r="N431" s="2">
        <f t="shared" si="6"/>
        <v>4</v>
      </c>
    </row>
    <row r="432" spans="1:14">
      <c r="A432" s="89">
        <v>218</v>
      </c>
      <c r="B432" s="90" t="s">
        <v>189</v>
      </c>
      <c r="C432" s="90" t="s">
        <v>847</v>
      </c>
      <c r="D432" s="90" t="s">
        <v>1651</v>
      </c>
      <c r="E432" s="68">
        <v>27</v>
      </c>
      <c r="F432" s="90" t="s">
        <v>569</v>
      </c>
      <c r="G432" s="91">
        <v>1</v>
      </c>
      <c r="H432" s="92" t="s">
        <v>590</v>
      </c>
      <c r="I432" s="92"/>
      <c r="J432" s="92" t="s">
        <v>1126</v>
      </c>
      <c r="K432" s="168">
        <v>0</v>
      </c>
      <c r="L432" s="169">
        <v>0</v>
      </c>
      <c r="M432" s="2">
        <v>2</v>
      </c>
      <c r="N432" s="2">
        <f t="shared" si="6"/>
        <v>5</v>
      </c>
    </row>
    <row r="433" spans="1:14">
      <c r="A433" s="16">
        <v>218</v>
      </c>
      <c r="B433" s="17" t="s">
        <v>189</v>
      </c>
      <c r="C433" s="17" t="s">
        <v>847</v>
      </c>
      <c r="D433" s="17" t="s">
        <v>1651</v>
      </c>
      <c r="E433" s="68">
        <v>46</v>
      </c>
      <c r="F433" s="17" t="s">
        <v>1597</v>
      </c>
      <c r="G433" s="65">
        <v>2</v>
      </c>
      <c r="H433" s="66" t="s">
        <v>590</v>
      </c>
      <c r="I433" s="66"/>
      <c r="J433" s="66" t="s">
        <v>1126</v>
      </c>
      <c r="K433" s="157">
        <v>0</v>
      </c>
      <c r="L433" s="170">
        <v>0</v>
      </c>
      <c r="M433" s="2">
        <v>2</v>
      </c>
      <c r="N433" s="2">
        <f t="shared" si="6"/>
        <v>5</v>
      </c>
    </row>
    <row r="434" spans="1:14">
      <c r="A434" s="16">
        <v>218</v>
      </c>
      <c r="B434" s="17" t="s">
        <v>189</v>
      </c>
      <c r="C434" s="17" t="s">
        <v>847</v>
      </c>
      <c r="D434" s="17" t="s">
        <v>1651</v>
      </c>
      <c r="E434" s="68">
        <v>81</v>
      </c>
      <c r="F434" s="17" t="s">
        <v>546</v>
      </c>
      <c r="G434" s="65">
        <v>3</v>
      </c>
      <c r="H434" s="66" t="s">
        <v>590</v>
      </c>
      <c r="I434" s="66"/>
      <c r="J434" s="66" t="s">
        <v>1126</v>
      </c>
      <c r="K434" s="157">
        <v>0</v>
      </c>
      <c r="L434" s="170">
        <v>0</v>
      </c>
      <c r="M434" s="2">
        <v>2</v>
      </c>
      <c r="N434" s="2">
        <f t="shared" si="6"/>
        <v>5</v>
      </c>
    </row>
    <row r="435" spans="1:14">
      <c r="A435" s="16">
        <v>218</v>
      </c>
      <c r="B435" s="17" t="s">
        <v>189</v>
      </c>
      <c r="C435" s="17" t="s">
        <v>847</v>
      </c>
      <c r="D435" s="17" t="s">
        <v>1651</v>
      </c>
      <c r="E435" s="68">
        <v>88</v>
      </c>
      <c r="F435" s="17" t="s">
        <v>953</v>
      </c>
      <c r="G435" s="65">
        <v>4</v>
      </c>
      <c r="H435" s="66" t="s">
        <v>590</v>
      </c>
      <c r="I435" s="66"/>
      <c r="J435" s="66" t="s">
        <v>1126</v>
      </c>
      <c r="K435" s="157">
        <v>0</v>
      </c>
      <c r="L435" s="170">
        <v>0</v>
      </c>
      <c r="M435" s="2">
        <v>2</v>
      </c>
      <c r="N435" s="2">
        <f t="shared" si="6"/>
        <v>5</v>
      </c>
    </row>
    <row r="436" spans="1:14">
      <c r="A436" s="16">
        <v>218</v>
      </c>
      <c r="B436" s="17" t="s">
        <v>189</v>
      </c>
      <c r="C436" s="17" t="s">
        <v>847</v>
      </c>
      <c r="D436" s="17" t="s">
        <v>1651</v>
      </c>
      <c r="E436" s="68">
        <v>58</v>
      </c>
      <c r="F436" s="17" t="s">
        <v>553</v>
      </c>
      <c r="G436" s="65">
        <v>5</v>
      </c>
      <c r="H436" s="66" t="s">
        <v>590</v>
      </c>
      <c r="I436" s="66"/>
      <c r="J436" s="66" t="s">
        <v>1126</v>
      </c>
      <c r="K436" s="157">
        <v>0</v>
      </c>
      <c r="L436" s="170">
        <v>0</v>
      </c>
      <c r="M436" s="2">
        <v>2</v>
      </c>
      <c r="N436" s="2">
        <f t="shared" si="6"/>
        <v>5</v>
      </c>
    </row>
    <row r="437" spans="1:14">
      <c r="A437" s="83">
        <v>219</v>
      </c>
      <c r="B437" s="84" t="s">
        <v>34</v>
      </c>
      <c r="C437" s="84" t="s">
        <v>336</v>
      </c>
      <c r="D437" s="84" t="s">
        <v>1651</v>
      </c>
      <c r="E437" s="68">
        <v>86</v>
      </c>
      <c r="F437" s="84" t="s">
        <v>1609</v>
      </c>
      <c r="G437" s="85">
        <v>1</v>
      </c>
      <c r="H437" s="86" t="s">
        <v>587</v>
      </c>
      <c r="I437" s="86" t="s">
        <v>1609</v>
      </c>
      <c r="J437" s="86" t="s">
        <v>1051</v>
      </c>
      <c r="K437" s="166">
        <v>0</v>
      </c>
      <c r="L437" s="167" t="s">
        <v>1056</v>
      </c>
      <c r="M437" s="2">
        <v>1</v>
      </c>
      <c r="N437" s="2">
        <f t="shared" si="6"/>
        <v>5</v>
      </c>
    </row>
    <row r="438" spans="1:14">
      <c r="A438" s="83">
        <v>219</v>
      </c>
      <c r="B438" s="84" t="s">
        <v>34</v>
      </c>
      <c r="C438" s="84" t="s">
        <v>336</v>
      </c>
      <c r="D438" s="84" t="s">
        <v>1651</v>
      </c>
      <c r="E438" s="68">
        <v>58</v>
      </c>
      <c r="F438" s="84" t="s">
        <v>553</v>
      </c>
      <c r="G438" s="85">
        <v>2</v>
      </c>
      <c r="H438" s="86" t="s">
        <v>587</v>
      </c>
      <c r="I438" s="86" t="s">
        <v>1609</v>
      </c>
      <c r="J438" s="86" t="s">
        <v>1051</v>
      </c>
      <c r="K438" s="166">
        <v>0</v>
      </c>
      <c r="L438" s="167" t="s">
        <v>1056</v>
      </c>
      <c r="M438" s="2">
        <v>1</v>
      </c>
      <c r="N438" s="2">
        <f t="shared" si="6"/>
        <v>5</v>
      </c>
    </row>
    <row r="439" spans="1:14">
      <c r="A439" s="99">
        <v>219</v>
      </c>
      <c r="B439" s="100" t="s">
        <v>34</v>
      </c>
      <c r="C439" s="100" t="s">
        <v>336</v>
      </c>
      <c r="D439" s="100" t="s">
        <v>1651</v>
      </c>
      <c r="E439" s="68">
        <v>46</v>
      </c>
      <c r="F439" s="100" t="s">
        <v>1597</v>
      </c>
      <c r="G439" s="101">
        <v>3</v>
      </c>
      <c r="H439" s="102" t="s">
        <v>587</v>
      </c>
      <c r="I439" s="102" t="s">
        <v>1609</v>
      </c>
      <c r="J439" s="102" t="s">
        <v>1051</v>
      </c>
      <c r="K439" s="171">
        <v>0</v>
      </c>
      <c r="L439" s="172" t="s">
        <v>1056</v>
      </c>
      <c r="M439" s="2">
        <v>1</v>
      </c>
      <c r="N439" s="2">
        <f t="shared" si="6"/>
        <v>5</v>
      </c>
    </row>
    <row r="440" spans="1:14">
      <c r="A440" s="83">
        <v>219</v>
      </c>
      <c r="B440" s="84" t="s">
        <v>34</v>
      </c>
      <c r="C440" s="84" t="s">
        <v>336</v>
      </c>
      <c r="D440" s="84" t="s">
        <v>1651</v>
      </c>
      <c r="E440" s="68">
        <v>63</v>
      </c>
      <c r="F440" s="84" t="s">
        <v>1612</v>
      </c>
      <c r="G440" s="85">
        <v>4</v>
      </c>
      <c r="H440" s="86" t="s">
        <v>587</v>
      </c>
      <c r="I440" s="86" t="s">
        <v>1609</v>
      </c>
      <c r="J440" s="86" t="s">
        <v>1051</v>
      </c>
      <c r="K440" s="166">
        <v>0</v>
      </c>
      <c r="L440" s="167" t="s">
        <v>1056</v>
      </c>
      <c r="M440" s="2">
        <v>1</v>
      </c>
      <c r="N440" s="2">
        <f t="shared" si="6"/>
        <v>5</v>
      </c>
    </row>
    <row r="441" spans="1:14">
      <c r="A441" s="83">
        <v>219</v>
      </c>
      <c r="B441" s="84" t="s">
        <v>34</v>
      </c>
      <c r="C441" s="84" t="s">
        <v>336</v>
      </c>
      <c r="D441" s="84" t="s">
        <v>1651</v>
      </c>
      <c r="E441" s="68">
        <v>53</v>
      </c>
      <c r="F441" s="84" t="s">
        <v>562</v>
      </c>
      <c r="G441" s="85">
        <v>5</v>
      </c>
      <c r="H441" s="86" t="s">
        <v>587</v>
      </c>
      <c r="I441" s="86" t="s">
        <v>1609</v>
      </c>
      <c r="J441" s="86" t="s">
        <v>1051</v>
      </c>
      <c r="K441" s="166">
        <v>0</v>
      </c>
      <c r="L441" s="167" t="s">
        <v>1056</v>
      </c>
      <c r="M441" s="2">
        <v>1</v>
      </c>
      <c r="N441" s="2">
        <f t="shared" si="6"/>
        <v>5</v>
      </c>
    </row>
    <row r="442" spans="1:14">
      <c r="A442" s="16">
        <v>223</v>
      </c>
      <c r="B442" s="17" t="s">
        <v>850</v>
      </c>
      <c r="C442" s="17" t="s">
        <v>849</v>
      </c>
      <c r="D442" s="17" t="s">
        <v>1562</v>
      </c>
      <c r="E442" s="81">
        <v>47</v>
      </c>
      <c r="F442" s="17" t="s">
        <v>1602</v>
      </c>
      <c r="G442" s="65">
        <v>1</v>
      </c>
      <c r="H442" s="66" t="s">
        <v>1425</v>
      </c>
      <c r="I442" s="66" t="s">
        <v>1605</v>
      </c>
      <c r="J442" s="66" t="s">
        <v>1609</v>
      </c>
      <c r="K442" s="157"/>
      <c r="L442" s="170"/>
      <c r="M442" s="2">
        <v>2</v>
      </c>
      <c r="N442" s="2">
        <f t="shared" si="6"/>
        <v>2</v>
      </c>
    </row>
    <row r="443" spans="1:14">
      <c r="A443" s="16">
        <v>223</v>
      </c>
      <c r="B443" s="17" t="s">
        <v>850</v>
      </c>
      <c r="C443" s="17" t="s">
        <v>849</v>
      </c>
      <c r="D443" s="17" t="s">
        <v>1562</v>
      </c>
      <c r="E443" s="81">
        <v>48</v>
      </c>
      <c r="F443" s="17" t="s">
        <v>1601</v>
      </c>
      <c r="G443" s="65">
        <v>2</v>
      </c>
      <c r="H443" s="66" t="s">
        <v>1425</v>
      </c>
      <c r="I443" s="66" t="s">
        <v>1605</v>
      </c>
      <c r="J443" s="66" t="s">
        <v>1609</v>
      </c>
      <c r="K443" s="157"/>
      <c r="L443" s="170"/>
      <c r="M443" s="2">
        <v>2</v>
      </c>
      <c r="N443" s="2">
        <f t="shared" si="6"/>
        <v>2</v>
      </c>
    </row>
    <row r="444" spans="1:14">
      <c r="A444" s="83">
        <v>225</v>
      </c>
      <c r="B444" s="84" t="s">
        <v>193</v>
      </c>
      <c r="C444" s="84" t="s">
        <v>853</v>
      </c>
      <c r="D444" s="84" t="s">
        <v>1652</v>
      </c>
      <c r="E444" s="68">
        <v>28</v>
      </c>
      <c r="F444" s="84" t="s">
        <v>570</v>
      </c>
      <c r="G444" s="85">
        <v>1</v>
      </c>
      <c r="H444" s="86" t="s">
        <v>996</v>
      </c>
      <c r="I444" s="86"/>
      <c r="J444" s="86" t="s">
        <v>939</v>
      </c>
      <c r="K444" s="166">
        <v>0</v>
      </c>
      <c r="L444" s="167">
        <v>0</v>
      </c>
      <c r="M444" s="2">
        <v>1</v>
      </c>
      <c r="N444" s="2">
        <f t="shared" si="6"/>
        <v>5</v>
      </c>
    </row>
    <row r="445" spans="1:14">
      <c r="A445" s="83">
        <v>225</v>
      </c>
      <c r="B445" s="84" t="s">
        <v>193</v>
      </c>
      <c r="C445" s="84" t="s">
        <v>853</v>
      </c>
      <c r="D445" s="84" t="s">
        <v>1652</v>
      </c>
      <c r="E445" s="68">
        <v>57</v>
      </c>
      <c r="F445" s="84" t="s">
        <v>1604</v>
      </c>
      <c r="G445" s="85">
        <v>2</v>
      </c>
      <c r="H445" s="86" t="s">
        <v>996</v>
      </c>
      <c r="I445" s="86"/>
      <c r="J445" s="86" t="s">
        <v>939</v>
      </c>
      <c r="K445" s="166">
        <v>0</v>
      </c>
      <c r="L445" s="167">
        <v>0</v>
      </c>
      <c r="M445" s="2">
        <v>1</v>
      </c>
      <c r="N445" s="2">
        <f t="shared" si="6"/>
        <v>5</v>
      </c>
    </row>
    <row r="446" spans="1:14">
      <c r="A446" s="83">
        <v>225</v>
      </c>
      <c r="B446" s="84" t="s">
        <v>193</v>
      </c>
      <c r="C446" s="84" t="s">
        <v>853</v>
      </c>
      <c r="D446" s="84" t="s">
        <v>1652</v>
      </c>
      <c r="E446" s="68">
        <v>61</v>
      </c>
      <c r="F446" s="84" t="s">
        <v>1608</v>
      </c>
      <c r="G446" s="85">
        <v>3</v>
      </c>
      <c r="H446" s="86" t="s">
        <v>996</v>
      </c>
      <c r="I446" s="86"/>
      <c r="J446" s="86" t="s">
        <v>939</v>
      </c>
      <c r="K446" s="166">
        <v>0</v>
      </c>
      <c r="L446" s="167">
        <v>0</v>
      </c>
      <c r="M446" s="2">
        <v>1</v>
      </c>
      <c r="N446" s="2">
        <f t="shared" si="6"/>
        <v>5</v>
      </c>
    </row>
    <row r="447" spans="1:14">
      <c r="A447" s="83">
        <v>225</v>
      </c>
      <c r="B447" s="84" t="s">
        <v>193</v>
      </c>
      <c r="C447" s="84" t="s">
        <v>853</v>
      </c>
      <c r="D447" s="84" t="s">
        <v>1652</v>
      </c>
      <c r="E447" s="68">
        <v>22</v>
      </c>
      <c r="F447" s="84" t="s">
        <v>956</v>
      </c>
      <c r="G447" s="85">
        <v>4</v>
      </c>
      <c r="H447" s="86" t="s">
        <v>996</v>
      </c>
      <c r="I447" s="86"/>
      <c r="J447" s="86" t="s">
        <v>939</v>
      </c>
      <c r="K447" s="166">
        <v>0</v>
      </c>
      <c r="L447" s="167">
        <v>0</v>
      </c>
      <c r="M447" s="2">
        <v>1</v>
      </c>
      <c r="N447" s="2">
        <f t="shared" si="6"/>
        <v>5</v>
      </c>
    </row>
    <row r="448" spans="1:14">
      <c r="A448" s="83">
        <v>225</v>
      </c>
      <c r="B448" s="84" t="s">
        <v>193</v>
      </c>
      <c r="C448" s="84" t="s">
        <v>853</v>
      </c>
      <c r="D448" s="84" t="s">
        <v>1652</v>
      </c>
      <c r="E448" s="68">
        <v>53</v>
      </c>
      <c r="F448" s="84" t="s">
        <v>562</v>
      </c>
      <c r="G448" s="85">
        <v>5</v>
      </c>
      <c r="H448" s="86" t="s">
        <v>996</v>
      </c>
      <c r="I448" s="86"/>
      <c r="J448" s="86" t="s">
        <v>939</v>
      </c>
      <c r="K448" s="166">
        <v>0</v>
      </c>
      <c r="L448" s="167">
        <v>0</v>
      </c>
      <c r="M448" s="2">
        <v>1</v>
      </c>
      <c r="N448" s="2">
        <f t="shared" si="6"/>
        <v>5</v>
      </c>
    </row>
    <row r="449" spans="1:14">
      <c r="A449" s="89">
        <v>228</v>
      </c>
      <c r="B449" s="90" t="s">
        <v>647</v>
      </c>
      <c r="C449" s="90" t="s">
        <v>859</v>
      </c>
      <c r="D449" s="90" t="s">
        <v>1653</v>
      </c>
      <c r="E449" s="68">
        <v>26</v>
      </c>
      <c r="F449" s="90" t="s">
        <v>1573</v>
      </c>
      <c r="G449" s="91">
        <v>1</v>
      </c>
      <c r="H449" s="92" t="s">
        <v>1026</v>
      </c>
      <c r="I449" s="92" t="s">
        <v>1582</v>
      </c>
      <c r="J449" s="92" t="s">
        <v>1680</v>
      </c>
      <c r="K449" s="168" t="s">
        <v>1163</v>
      </c>
      <c r="L449" s="169">
        <v>0</v>
      </c>
      <c r="M449" s="2">
        <v>2</v>
      </c>
      <c r="N449" s="2">
        <f t="shared" si="6"/>
        <v>5</v>
      </c>
    </row>
    <row r="450" spans="1:14">
      <c r="A450" s="16">
        <v>228</v>
      </c>
      <c r="B450" s="17" t="s">
        <v>647</v>
      </c>
      <c r="C450" s="17" t="s">
        <v>859</v>
      </c>
      <c r="D450" s="17" t="s">
        <v>1653</v>
      </c>
      <c r="E450" s="68">
        <v>27</v>
      </c>
      <c r="F450" s="17" t="s">
        <v>569</v>
      </c>
      <c r="G450" s="65">
        <v>2</v>
      </c>
      <c r="H450" s="66" t="s">
        <v>1026</v>
      </c>
      <c r="I450" s="66" t="s">
        <v>1582</v>
      </c>
      <c r="J450" s="66" t="s">
        <v>1680</v>
      </c>
      <c r="K450" s="157" t="s">
        <v>1163</v>
      </c>
      <c r="L450" s="170">
        <v>0</v>
      </c>
      <c r="M450" s="2">
        <v>2</v>
      </c>
      <c r="N450" s="2">
        <f t="shared" si="6"/>
        <v>5</v>
      </c>
    </row>
    <row r="451" spans="1:14">
      <c r="A451" s="16">
        <v>228</v>
      </c>
      <c r="B451" s="17" t="s">
        <v>647</v>
      </c>
      <c r="C451" s="17" t="s">
        <v>859</v>
      </c>
      <c r="D451" s="17" t="s">
        <v>1653</v>
      </c>
      <c r="E451" s="68">
        <v>28</v>
      </c>
      <c r="F451" s="17" t="s">
        <v>570</v>
      </c>
      <c r="G451" s="65">
        <v>3</v>
      </c>
      <c r="H451" s="66" t="s">
        <v>1026</v>
      </c>
      <c r="I451" s="66" t="s">
        <v>1582</v>
      </c>
      <c r="J451" s="66" t="s">
        <v>1680</v>
      </c>
      <c r="K451" s="157" t="s">
        <v>1163</v>
      </c>
      <c r="L451" s="170">
        <v>0</v>
      </c>
      <c r="M451" s="2">
        <v>2</v>
      </c>
      <c r="N451" s="2">
        <f t="shared" ref="N451:N514" si="7">COUNTIF(A:A,A451)</f>
        <v>5</v>
      </c>
    </row>
    <row r="452" spans="1:14">
      <c r="A452" s="16">
        <v>228</v>
      </c>
      <c r="B452" s="17" t="s">
        <v>647</v>
      </c>
      <c r="C452" s="17" t="s">
        <v>859</v>
      </c>
      <c r="D452" s="17" t="s">
        <v>1653</v>
      </c>
      <c r="E452" s="68">
        <v>55</v>
      </c>
      <c r="F452" s="17" t="s">
        <v>1585</v>
      </c>
      <c r="G452" s="65">
        <v>4</v>
      </c>
      <c r="H452" s="66" t="s">
        <v>1026</v>
      </c>
      <c r="I452" s="66" t="s">
        <v>1582</v>
      </c>
      <c r="J452" s="66" t="s">
        <v>1680</v>
      </c>
      <c r="K452" s="157" t="s">
        <v>1163</v>
      </c>
      <c r="L452" s="170">
        <v>0</v>
      </c>
      <c r="M452" s="2">
        <v>2</v>
      </c>
      <c r="N452" s="2">
        <f t="shared" si="7"/>
        <v>5</v>
      </c>
    </row>
    <row r="453" spans="1:14">
      <c r="A453" s="89">
        <v>228</v>
      </c>
      <c r="B453" s="90" t="s">
        <v>647</v>
      </c>
      <c r="C453" s="90" t="s">
        <v>859</v>
      </c>
      <c r="D453" s="90" t="s">
        <v>1653</v>
      </c>
      <c r="E453" s="68">
        <v>54</v>
      </c>
      <c r="F453" s="90" t="s">
        <v>1603</v>
      </c>
      <c r="G453" s="91">
        <v>5</v>
      </c>
      <c r="H453" s="92" t="s">
        <v>1026</v>
      </c>
      <c r="I453" s="92" t="s">
        <v>1582</v>
      </c>
      <c r="J453" s="92" t="s">
        <v>1680</v>
      </c>
      <c r="K453" s="168" t="s">
        <v>1163</v>
      </c>
      <c r="L453" s="169">
        <v>0</v>
      </c>
      <c r="M453" s="2">
        <v>2</v>
      </c>
      <c r="N453" s="2">
        <f t="shared" si="7"/>
        <v>5</v>
      </c>
    </row>
    <row r="454" spans="1:14">
      <c r="A454" s="83">
        <v>229</v>
      </c>
      <c r="B454" s="84" t="s">
        <v>341</v>
      </c>
      <c r="C454" s="84" t="s">
        <v>266</v>
      </c>
      <c r="D454" s="84" t="s">
        <v>1653</v>
      </c>
      <c r="E454" s="68">
        <v>61</v>
      </c>
      <c r="F454" s="84" t="s">
        <v>1608</v>
      </c>
      <c r="G454" s="85">
        <v>1</v>
      </c>
      <c r="H454" s="86" t="s">
        <v>989</v>
      </c>
      <c r="I454" s="86" t="s">
        <v>1679</v>
      </c>
      <c r="J454" s="86" t="s">
        <v>1698</v>
      </c>
      <c r="K454" s="166">
        <v>0</v>
      </c>
      <c r="L454" s="167">
        <v>0</v>
      </c>
      <c r="M454" s="2">
        <v>1</v>
      </c>
      <c r="N454" s="2">
        <f t="shared" si="7"/>
        <v>3</v>
      </c>
    </row>
    <row r="455" spans="1:14">
      <c r="A455" s="83">
        <v>229</v>
      </c>
      <c r="B455" s="84" t="s">
        <v>341</v>
      </c>
      <c r="C455" s="84" t="s">
        <v>266</v>
      </c>
      <c r="D455" s="84" t="s">
        <v>1653</v>
      </c>
      <c r="E455" s="68">
        <v>32</v>
      </c>
      <c r="F455" s="84" t="s">
        <v>549</v>
      </c>
      <c r="G455" s="85">
        <v>2</v>
      </c>
      <c r="H455" s="86" t="s">
        <v>989</v>
      </c>
      <c r="I455" s="86" t="s">
        <v>1679</v>
      </c>
      <c r="J455" s="86" t="s">
        <v>1698</v>
      </c>
      <c r="K455" s="166">
        <v>0</v>
      </c>
      <c r="L455" s="167">
        <v>0</v>
      </c>
      <c r="M455" s="2">
        <v>1</v>
      </c>
      <c r="N455" s="2">
        <f t="shared" si="7"/>
        <v>3</v>
      </c>
    </row>
    <row r="456" spans="1:14">
      <c r="A456" s="83">
        <v>229</v>
      </c>
      <c r="B456" s="84" t="s">
        <v>341</v>
      </c>
      <c r="C456" s="84" t="s">
        <v>266</v>
      </c>
      <c r="D456" s="84" t="s">
        <v>1653</v>
      </c>
      <c r="E456" s="68">
        <v>88</v>
      </c>
      <c r="F456" s="84" t="s">
        <v>953</v>
      </c>
      <c r="G456" s="85">
        <v>3</v>
      </c>
      <c r="H456" s="86" t="s">
        <v>989</v>
      </c>
      <c r="I456" s="86" t="s">
        <v>1679</v>
      </c>
      <c r="J456" s="86" t="s">
        <v>1698</v>
      </c>
      <c r="K456" s="166">
        <v>0</v>
      </c>
      <c r="L456" s="167">
        <v>0</v>
      </c>
      <c r="M456" s="2">
        <v>1</v>
      </c>
      <c r="N456" s="2">
        <f t="shared" si="7"/>
        <v>3</v>
      </c>
    </row>
    <row r="457" spans="1:14">
      <c r="A457" s="16">
        <v>230</v>
      </c>
      <c r="B457" s="17" t="s">
        <v>343</v>
      </c>
      <c r="C457" s="17" t="s">
        <v>342</v>
      </c>
      <c r="D457" s="17" t="s">
        <v>1653</v>
      </c>
      <c r="E457" s="68">
        <v>90</v>
      </c>
      <c r="F457" s="17" t="s">
        <v>937</v>
      </c>
      <c r="G457" s="65">
        <v>1</v>
      </c>
      <c r="H457" s="66" t="s">
        <v>990</v>
      </c>
      <c r="I457" s="66" t="s">
        <v>937</v>
      </c>
      <c r="J457" s="66" t="s">
        <v>1059</v>
      </c>
      <c r="K457" s="157">
        <v>0</v>
      </c>
      <c r="L457" s="170">
        <v>0</v>
      </c>
      <c r="M457" s="2">
        <v>2</v>
      </c>
      <c r="N457" s="2">
        <f t="shared" si="7"/>
        <v>1</v>
      </c>
    </row>
    <row r="458" spans="1:14">
      <c r="A458" s="83">
        <v>233</v>
      </c>
      <c r="B458" s="84" t="s">
        <v>51</v>
      </c>
      <c r="C458" s="84" t="s">
        <v>94</v>
      </c>
      <c r="D458" s="84" t="s">
        <v>1654</v>
      </c>
      <c r="E458" s="68">
        <v>81</v>
      </c>
      <c r="F458" s="84" t="s">
        <v>546</v>
      </c>
      <c r="G458" s="85">
        <v>1</v>
      </c>
      <c r="H458" s="86" t="s">
        <v>975</v>
      </c>
      <c r="I458" s="86" t="s">
        <v>553</v>
      </c>
      <c r="J458" s="86" t="s">
        <v>583</v>
      </c>
      <c r="K458" s="166">
        <v>0</v>
      </c>
      <c r="L458" s="167">
        <v>0</v>
      </c>
      <c r="M458" s="2">
        <v>1</v>
      </c>
      <c r="N458" s="2">
        <f t="shared" si="7"/>
        <v>5</v>
      </c>
    </row>
    <row r="459" spans="1:14">
      <c r="A459" s="83">
        <v>233</v>
      </c>
      <c r="B459" s="84" t="s">
        <v>51</v>
      </c>
      <c r="C459" s="84" t="s">
        <v>94</v>
      </c>
      <c r="D459" s="84" t="s">
        <v>1654</v>
      </c>
      <c r="E459" s="68">
        <v>28</v>
      </c>
      <c r="F459" s="84" t="s">
        <v>570</v>
      </c>
      <c r="G459" s="85">
        <v>2</v>
      </c>
      <c r="H459" s="86" t="s">
        <v>975</v>
      </c>
      <c r="I459" s="86" t="s">
        <v>553</v>
      </c>
      <c r="J459" s="86" t="s">
        <v>583</v>
      </c>
      <c r="K459" s="166">
        <v>0</v>
      </c>
      <c r="L459" s="167">
        <v>0</v>
      </c>
      <c r="M459" s="2">
        <v>1</v>
      </c>
      <c r="N459" s="2">
        <f t="shared" si="7"/>
        <v>5</v>
      </c>
    </row>
    <row r="460" spans="1:14">
      <c r="A460" s="83">
        <v>233</v>
      </c>
      <c r="B460" s="84" t="s">
        <v>51</v>
      </c>
      <c r="C460" s="84" t="s">
        <v>94</v>
      </c>
      <c r="D460" s="84" t="s">
        <v>1654</v>
      </c>
      <c r="E460" s="68">
        <v>68</v>
      </c>
      <c r="F460" s="84" t="s">
        <v>583</v>
      </c>
      <c r="G460" s="85">
        <v>3</v>
      </c>
      <c r="H460" s="86" t="s">
        <v>975</v>
      </c>
      <c r="I460" s="86" t="s">
        <v>553</v>
      </c>
      <c r="J460" s="86" t="s">
        <v>583</v>
      </c>
      <c r="K460" s="166">
        <v>0</v>
      </c>
      <c r="L460" s="167">
        <v>0</v>
      </c>
      <c r="M460" s="2">
        <v>1</v>
      </c>
      <c r="N460" s="2">
        <f t="shared" si="7"/>
        <v>5</v>
      </c>
    </row>
    <row r="461" spans="1:14">
      <c r="A461" s="99">
        <v>233</v>
      </c>
      <c r="B461" s="100" t="s">
        <v>51</v>
      </c>
      <c r="C461" s="100" t="s">
        <v>94</v>
      </c>
      <c r="D461" s="100" t="s">
        <v>1654</v>
      </c>
      <c r="E461" s="68">
        <v>58</v>
      </c>
      <c r="F461" s="100" t="s">
        <v>553</v>
      </c>
      <c r="G461" s="101">
        <v>4</v>
      </c>
      <c r="H461" s="102" t="s">
        <v>975</v>
      </c>
      <c r="I461" s="102" t="s">
        <v>553</v>
      </c>
      <c r="J461" s="102" t="s">
        <v>583</v>
      </c>
      <c r="K461" s="171">
        <v>0</v>
      </c>
      <c r="L461" s="172">
        <v>0</v>
      </c>
      <c r="M461" s="2">
        <v>1</v>
      </c>
      <c r="N461" s="2">
        <f t="shared" si="7"/>
        <v>5</v>
      </c>
    </row>
    <row r="462" spans="1:14">
      <c r="A462" s="83">
        <v>233</v>
      </c>
      <c r="B462" s="84" t="s">
        <v>51</v>
      </c>
      <c r="C462" s="84" t="s">
        <v>94</v>
      </c>
      <c r="D462" s="84" t="s">
        <v>1654</v>
      </c>
      <c r="E462" s="68">
        <v>84</v>
      </c>
      <c r="F462" s="84" t="s">
        <v>1574</v>
      </c>
      <c r="G462" s="85">
        <v>5</v>
      </c>
      <c r="H462" s="86" t="s">
        <v>975</v>
      </c>
      <c r="I462" s="86" t="s">
        <v>553</v>
      </c>
      <c r="J462" s="86" t="s">
        <v>583</v>
      </c>
      <c r="K462" s="166">
        <v>0</v>
      </c>
      <c r="L462" s="167">
        <v>0</v>
      </c>
      <c r="M462" s="2">
        <v>1</v>
      </c>
      <c r="N462" s="2">
        <f t="shared" si="7"/>
        <v>5</v>
      </c>
    </row>
    <row r="463" spans="1:14">
      <c r="A463" s="16">
        <v>234</v>
      </c>
      <c r="B463" s="17" t="s">
        <v>100</v>
      </c>
      <c r="C463" s="17" t="s">
        <v>27</v>
      </c>
      <c r="D463" s="17" t="s">
        <v>1655</v>
      </c>
      <c r="E463" s="68">
        <v>17</v>
      </c>
      <c r="F463" s="17" t="s">
        <v>955</v>
      </c>
      <c r="G463" s="65">
        <v>1</v>
      </c>
      <c r="H463" s="66" t="s">
        <v>599</v>
      </c>
      <c r="I463" s="66" t="s">
        <v>1589</v>
      </c>
      <c r="J463" s="66" t="s">
        <v>1131</v>
      </c>
      <c r="K463" s="157" t="s">
        <v>1159</v>
      </c>
      <c r="L463" s="170">
        <v>0</v>
      </c>
      <c r="M463" s="2">
        <v>2</v>
      </c>
      <c r="N463" s="2">
        <f t="shared" si="7"/>
        <v>3</v>
      </c>
    </row>
    <row r="464" spans="1:14">
      <c r="A464" s="16">
        <v>234</v>
      </c>
      <c r="B464" s="17" t="s">
        <v>100</v>
      </c>
      <c r="C464" s="17" t="s">
        <v>27</v>
      </c>
      <c r="D464" s="17" t="s">
        <v>1655</v>
      </c>
      <c r="E464" s="68">
        <v>55</v>
      </c>
      <c r="F464" s="17" t="s">
        <v>1585</v>
      </c>
      <c r="G464" s="65">
        <v>2</v>
      </c>
      <c r="H464" s="66" t="s">
        <v>599</v>
      </c>
      <c r="I464" s="66" t="s">
        <v>1589</v>
      </c>
      <c r="J464" s="66" t="s">
        <v>1131</v>
      </c>
      <c r="K464" s="157" t="s">
        <v>1159</v>
      </c>
      <c r="L464" s="170">
        <v>0</v>
      </c>
      <c r="M464" s="2">
        <v>2</v>
      </c>
      <c r="N464" s="2">
        <f t="shared" si="7"/>
        <v>3</v>
      </c>
    </row>
    <row r="465" spans="1:14">
      <c r="A465" s="16">
        <v>234</v>
      </c>
      <c r="B465" s="17" t="s">
        <v>100</v>
      </c>
      <c r="C465" s="17" t="s">
        <v>27</v>
      </c>
      <c r="D465" s="17" t="s">
        <v>1655</v>
      </c>
      <c r="E465" s="68">
        <v>76</v>
      </c>
      <c r="F465" s="17" t="s">
        <v>1613</v>
      </c>
      <c r="G465" s="65">
        <v>3</v>
      </c>
      <c r="H465" s="66" t="s">
        <v>599</v>
      </c>
      <c r="I465" s="66" t="s">
        <v>1589</v>
      </c>
      <c r="J465" s="66" t="s">
        <v>1131</v>
      </c>
      <c r="K465" s="157" t="s">
        <v>1159</v>
      </c>
      <c r="L465" s="170">
        <v>0</v>
      </c>
      <c r="M465" s="2">
        <v>2</v>
      </c>
      <c r="N465" s="2">
        <f t="shared" si="7"/>
        <v>3</v>
      </c>
    </row>
    <row r="466" spans="1:14">
      <c r="A466" s="83">
        <v>235</v>
      </c>
      <c r="B466" s="84" t="s">
        <v>867</v>
      </c>
      <c r="C466" s="84" t="s">
        <v>866</v>
      </c>
      <c r="D466" s="84" t="s">
        <v>1655</v>
      </c>
      <c r="E466" s="68">
        <v>33</v>
      </c>
      <c r="F466" s="84" t="s">
        <v>1580</v>
      </c>
      <c r="G466" s="85">
        <v>1</v>
      </c>
      <c r="H466" s="86" t="s">
        <v>991</v>
      </c>
      <c r="I466" s="86"/>
      <c r="J466" s="86" t="s">
        <v>1082</v>
      </c>
      <c r="K466" s="166">
        <v>0</v>
      </c>
      <c r="L466" s="167">
        <v>0</v>
      </c>
      <c r="M466" s="2">
        <v>1</v>
      </c>
      <c r="N466" s="2">
        <f t="shared" si="7"/>
        <v>5</v>
      </c>
    </row>
    <row r="467" spans="1:14">
      <c r="A467" s="99">
        <v>235</v>
      </c>
      <c r="B467" s="100" t="s">
        <v>867</v>
      </c>
      <c r="C467" s="100" t="s">
        <v>866</v>
      </c>
      <c r="D467" s="100" t="s">
        <v>1655</v>
      </c>
      <c r="E467" s="68">
        <v>17</v>
      </c>
      <c r="F467" s="100" t="s">
        <v>955</v>
      </c>
      <c r="G467" s="101">
        <v>2</v>
      </c>
      <c r="H467" s="102" t="s">
        <v>991</v>
      </c>
      <c r="I467" s="102"/>
      <c r="J467" s="102" t="s">
        <v>1082</v>
      </c>
      <c r="K467" s="171">
        <v>0</v>
      </c>
      <c r="L467" s="172">
        <v>0</v>
      </c>
      <c r="M467" s="2">
        <v>1</v>
      </c>
      <c r="N467" s="2">
        <f t="shared" si="7"/>
        <v>5</v>
      </c>
    </row>
    <row r="468" spans="1:14">
      <c r="A468" s="83">
        <v>235</v>
      </c>
      <c r="B468" s="84" t="s">
        <v>867</v>
      </c>
      <c r="C468" s="84" t="s">
        <v>866</v>
      </c>
      <c r="D468" s="84" t="s">
        <v>1655</v>
      </c>
      <c r="E468" s="68">
        <v>18</v>
      </c>
      <c r="F468" s="84" t="s">
        <v>1588</v>
      </c>
      <c r="G468" s="85">
        <v>3</v>
      </c>
      <c r="H468" s="86" t="s">
        <v>991</v>
      </c>
      <c r="I468" s="86"/>
      <c r="J468" s="86" t="s">
        <v>1082</v>
      </c>
      <c r="K468" s="166">
        <v>0</v>
      </c>
      <c r="L468" s="167">
        <v>0</v>
      </c>
      <c r="M468" s="2">
        <v>1</v>
      </c>
      <c r="N468" s="2">
        <f t="shared" si="7"/>
        <v>5</v>
      </c>
    </row>
    <row r="469" spans="1:14">
      <c r="A469" s="83">
        <v>235</v>
      </c>
      <c r="B469" s="84" t="s">
        <v>867</v>
      </c>
      <c r="C469" s="84" t="s">
        <v>866</v>
      </c>
      <c r="D469" s="84" t="s">
        <v>1655</v>
      </c>
      <c r="E469" s="68">
        <v>26</v>
      </c>
      <c r="F469" s="84" t="s">
        <v>1573</v>
      </c>
      <c r="G469" s="85">
        <v>4</v>
      </c>
      <c r="H469" s="86" t="s">
        <v>991</v>
      </c>
      <c r="I469" s="86"/>
      <c r="J469" s="86" t="s">
        <v>1082</v>
      </c>
      <c r="K469" s="166">
        <v>0</v>
      </c>
      <c r="L469" s="167">
        <v>0</v>
      </c>
      <c r="M469" s="2">
        <v>1</v>
      </c>
      <c r="N469" s="2">
        <f t="shared" si="7"/>
        <v>5</v>
      </c>
    </row>
    <row r="470" spans="1:14">
      <c r="A470" s="83">
        <v>235</v>
      </c>
      <c r="B470" s="84" t="s">
        <v>867</v>
      </c>
      <c r="C470" s="84" t="s">
        <v>866</v>
      </c>
      <c r="D470" s="84" t="s">
        <v>1655</v>
      </c>
      <c r="E470" s="68">
        <v>97</v>
      </c>
      <c r="F470" s="84" t="s">
        <v>939</v>
      </c>
      <c r="G470" s="85">
        <v>5</v>
      </c>
      <c r="H470" s="86" t="s">
        <v>991</v>
      </c>
      <c r="I470" s="86"/>
      <c r="J470" s="86" t="s">
        <v>1082</v>
      </c>
      <c r="K470" s="166">
        <v>0</v>
      </c>
      <c r="L470" s="167">
        <v>0</v>
      </c>
      <c r="M470" s="2">
        <v>1</v>
      </c>
      <c r="N470" s="2">
        <f t="shared" si="7"/>
        <v>5</v>
      </c>
    </row>
    <row r="471" spans="1:14">
      <c r="A471" s="16">
        <v>236</v>
      </c>
      <c r="B471" s="17" t="s">
        <v>667</v>
      </c>
      <c r="C471" s="17" t="s">
        <v>869</v>
      </c>
      <c r="D471" s="17" t="s">
        <v>1656</v>
      </c>
      <c r="E471" s="68">
        <v>33</v>
      </c>
      <c r="F471" s="17" t="s">
        <v>1580</v>
      </c>
      <c r="G471" s="65">
        <v>1</v>
      </c>
      <c r="H471" s="66" t="s">
        <v>979</v>
      </c>
      <c r="I471" s="66"/>
      <c r="J471" s="66"/>
      <c r="K471" s="157">
        <v>0</v>
      </c>
      <c r="L471" s="170">
        <v>0</v>
      </c>
      <c r="M471" s="2">
        <v>2</v>
      </c>
      <c r="N471" s="2">
        <f t="shared" si="7"/>
        <v>1</v>
      </c>
    </row>
    <row r="472" spans="1:14">
      <c r="A472" s="83">
        <v>237</v>
      </c>
      <c r="B472" s="84" t="s">
        <v>359</v>
      </c>
      <c r="C472" s="84" t="s">
        <v>871</v>
      </c>
      <c r="D472" s="84" t="s">
        <v>1656</v>
      </c>
      <c r="E472" s="68">
        <v>78</v>
      </c>
      <c r="F472" s="84" t="s">
        <v>1589</v>
      </c>
      <c r="G472" s="85">
        <v>1</v>
      </c>
      <c r="H472" s="86" t="s">
        <v>599</v>
      </c>
      <c r="I472" s="86" t="s">
        <v>575</v>
      </c>
      <c r="J472" s="86" t="s">
        <v>1699</v>
      </c>
      <c r="K472" s="166">
        <v>0</v>
      </c>
      <c r="L472" s="167">
        <v>0</v>
      </c>
      <c r="M472" s="2">
        <v>1</v>
      </c>
      <c r="N472" s="2">
        <f t="shared" si="7"/>
        <v>4</v>
      </c>
    </row>
    <row r="473" spans="1:14">
      <c r="A473" s="83">
        <v>237</v>
      </c>
      <c r="B473" s="84" t="s">
        <v>359</v>
      </c>
      <c r="C473" s="84" t="s">
        <v>871</v>
      </c>
      <c r="D473" s="84" t="s">
        <v>1656</v>
      </c>
      <c r="E473" s="68">
        <v>79</v>
      </c>
      <c r="F473" s="84" t="s">
        <v>575</v>
      </c>
      <c r="G473" s="85">
        <v>2</v>
      </c>
      <c r="H473" s="86" t="s">
        <v>599</v>
      </c>
      <c r="I473" s="86" t="s">
        <v>575</v>
      </c>
      <c r="J473" s="86" t="s">
        <v>1699</v>
      </c>
      <c r="K473" s="166">
        <v>0</v>
      </c>
      <c r="L473" s="167">
        <v>0</v>
      </c>
      <c r="M473" s="2">
        <v>1</v>
      </c>
      <c r="N473" s="2">
        <f t="shared" si="7"/>
        <v>4</v>
      </c>
    </row>
    <row r="474" spans="1:14">
      <c r="A474" s="83">
        <v>237</v>
      </c>
      <c r="B474" s="84" t="s">
        <v>359</v>
      </c>
      <c r="C474" s="84" t="s">
        <v>871</v>
      </c>
      <c r="D474" s="84" t="s">
        <v>1656</v>
      </c>
      <c r="E474" s="68">
        <v>77</v>
      </c>
      <c r="F474" s="84" t="s">
        <v>1615</v>
      </c>
      <c r="G474" s="85">
        <v>3</v>
      </c>
      <c r="H474" s="86" t="s">
        <v>599</v>
      </c>
      <c r="I474" s="86" t="s">
        <v>575</v>
      </c>
      <c r="J474" s="86" t="s">
        <v>1699</v>
      </c>
      <c r="K474" s="166">
        <v>0</v>
      </c>
      <c r="L474" s="167">
        <v>0</v>
      </c>
      <c r="M474" s="2">
        <v>1</v>
      </c>
      <c r="N474" s="2">
        <f t="shared" si="7"/>
        <v>4</v>
      </c>
    </row>
    <row r="475" spans="1:14">
      <c r="A475" s="99">
        <v>237</v>
      </c>
      <c r="B475" s="100" t="s">
        <v>359</v>
      </c>
      <c r="C475" s="100" t="s">
        <v>871</v>
      </c>
      <c r="D475" s="100" t="s">
        <v>1656</v>
      </c>
      <c r="E475" s="68">
        <v>55</v>
      </c>
      <c r="F475" s="100" t="s">
        <v>1585</v>
      </c>
      <c r="G475" s="101">
        <v>4</v>
      </c>
      <c r="H475" s="102" t="s">
        <v>599</v>
      </c>
      <c r="I475" s="102" t="s">
        <v>575</v>
      </c>
      <c r="J475" s="102" t="s">
        <v>1699</v>
      </c>
      <c r="K475" s="171">
        <v>0</v>
      </c>
      <c r="L475" s="172">
        <v>0</v>
      </c>
      <c r="M475" s="2">
        <v>1</v>
      </c>
      <c r="N475" s="2">
        <f t="shared" si="7"/>
        <v>4</v>
      </c>
    </row>
    <row r="476" spans="1:14">
      <c r="A476" s="16">
        <v>240</v>
      </c>
      <c r="B476" s="17" t="s">
        <v>874</v>
      </c>
      <c r="C476" s="17" t="s">
        <v>873</v>
      </c>
      <c r="D476" s="17" t="s">
        <v>1657</v>
      </c>
      <c r="E476" s="68">
        <v>76</v>
      </c>
      <c r="F476" s="17" t="s">
        <v>1613</v>
      </c>
      <c r="G476" s="65">
        <v>1</v>
      </c>
      <c r="H476" s="66" t="s">
        <v>598</v>
      </c>
      <c r="I476" s="66"/>
      <c r="J476" s="66"/>
      <c r="K476" s="157">
        <v>0</v>
      </c>
      <c r="L476" s="170">
        <v>0</v>
      </c>
      <c r="M476" s="2">
        <v>2</v>
      </c>
      <c r="N476" s="2">
        <f t="shared" si="7"/>
        <v>4</v>
      </c>
    </row>
    <row r="477" spans="1:14">
      <c r="A477" s="16">
        <v>240</v>
      </c>
      <c r="B477" s="17" t="s">
        <v>874</v>
      </c>
      <c r="C477" s="17" t="s">
        <v>873</v>
      </c>
      <c r="D477" s="17" t="s">
        <v>1657</v>
      </c>
      <c r="E477" s="68">
        <v>31</v>
      </c>
      <c r="F477" s="17" t="s">
        <v>1590</v>
      </c>
      <c r="G477" s="65">
        <v>2</v>
      </c>
      <c r="H477" s="66" t="s">
        <v>598</v>
      </c>
      <c r="I477" s="66"/>
      <c r="J477" s="66"/>
      <c r="K477" s="157">
        <v>0</v>
      </c>
      <c r="L477" s="170">
        <v>0</v>
      </c>
      <c r="M477" s="2">
        <v>2</v>
      </c>
      <c r="N477" s="2">
        <f t="shared" si="7"/>
        <v>4</v>
      </c>
    </row>
    <row r="478" spans="1:14">
      <c r="A478" s="16">
        <v>240</v>
      </c>
      <c r="B478" s="17" t="s">
        <v>874</v>
      </c>
      <c r="C478" s="17" t="s">
        <v>873</v>
      </c>
      <c r="D478" s="17" t="s">
        <v>1657</v>
      </c>
      <c r="E478" s="68">
        <v>9</v>
      </c>
      <c r="F478" s="17" t="s">
        <v>537</v>
      </c>
      <c r="G478" s="65">
        <v>3</v>
      </c>
      <c r="H478" s="66" t="s">
        <v>598</v>
      </c>
      <c r="I478" s="66"/>
      <c r="J478" s="66"/>
      <c r="K478" s="157">
        <v>0</v>
      </c>
      <c r="L478" s="170">
        <v>0</v>
      </c>
      <c r="M478" s="2">
        <v>2</v>
      </c>
      <c r="N478" s="2">
        <f t="shared" si="7"/>
        <v>4</v>
      </c>
    </row>
    <row r="479" spans="1:14">
      <c r="A479" s="16">
        <v>240</v>
      </c>
      <c r="B479" s="17" t="s">
        <v>874</v>
      </c>
      <c r="C479" s="17" t="s">
        <v>873</v>
      </c>
      <c r="D479" s="17" t="s">
        <v>1657</v>
      </c>
      <c r="E479" s="68">
        <v>77</v>
      </c>
      <c r="F479" s="17" t="s">
        <v>1615</v>
      </c>
      <c r="G479" s="65">
        <v>4</v>
      </c>
      <c r="H479" s="66" t="s">
        <v>598</v>
      </c>
      <c r="I479" s="66"/>
      <c r="J479" s="66"/>
      <c r="K479" s="157">
        <v>0</v>
      </c>
      <c r="L479" s="170">
        <v>0</v>
      </c>
      <c r="M479" s="2">
        <v>2</v>
      </c>
      <c r="N479" s="2">
        <f t="shared" si="7"/>
        <v>4</v>
      </c>
    </row>
    <row r="480" spans="1:14">
      <c r="A480" s="83">
        <v>241</v>
      </c>
      <c r="B480" s="84" t="s">
        <v>349</v>
      </c>
      <c r="C480" s="84" t="s">
        <v>348</v>
      </c>
      <c r="D480" s="84" t="s">
        <v>1658</v>
      </c>
      <c r="E480" s="68">
        <v>27</v>
      </c>
      <c r="F480" s="84" t="s">
        <v>569</v>
      </c>
      <c r="G480" s="85">
        <v>1</v>
      </c>
      <c r="H480" s="86" t="s">
        <v>594</v>
      </c>
      <c r="I480" s="86" t="s">
        <v>529</v>
      </c>
      <c r="J480" s="86" t="s">
        <v>938</v>
      </c>
      <c r="K480" s="166" t="s">
        <v>1153</v>
      </c>
      <c r="L480" s="167">
        <v>0</v>
      </c>
      <c r="M480" s="2">
        <v>1</v>
      </c>
      <c r="N480" s="2">
        <f t="shared" si="7"/>
        <v>5</v>
      </c>
    </row>
    <row r="481" spans="1:14">
      <c r="A481" s="83">
        <v>241</v>
      </c>
      <c r="B481" s="84" t="s">
        <v>349</v>
      </c>
      <c r="C481" s="84" t="s">
        <v>348</v>
      </c>
      <c r="D481" s="84" t="s">
        <v>1658</v>
      </c>
      <c r="E481" s="68">
        <v>9</v>
      </c>
      <c r="F481" s="84" t="s">
        <v>537</v>
      </c>
      <c r="G481" s="85">
        <v>2</v>
      </c>
      <c r="H481" s="86" t="s">
        <v>594</v>
      </c>
      <c r="I481" s="86" t="s">
        <v>529</v>
      </c>
      <c r="J481" s="86" t="s">
        <v>938</v>
      </c>
      <c r="K481" s="166" t="s">
        <v>1153</v>
      </c>
      <c r="L481" s="167">
        <v>0</v>
      </c>
      <c r="M481" s="2">
        <v>1</v>
      </c>
      <c r="N481" s="2">
        <f t="shared" si="7"/>
        <v>5</v>
      </c>
    </row>
    <row r="482" spans="1:14">
      <c r="A482" s="99">
        <v>241</v>
      </c>
      <c r="B482" s="100" t="s">
        <v>349</v>
      </c>
      <c r="C482" s="100" t="s">
        <v>348</v>
      </c>
      <c r="D482" s="100" t="s">
        <v>1658</v>
      </c>
      <c r="E482" s="68">
        <v>10</v>
      </c>
      <c r="F482" s="100" t="s">
        <v>1596</v>
      </c>
      <c r="G482" s="101">
        <v>3</v>
      </c>
      <c r="H482" s="102" t="s">
        <v>594</v>
      </c>
      <c r="I482" s="102" t="s">
        <v>529</v>
      </c>
      <c r="J482" s="102" t="s">
        <v>938</v>
      </c>
      <c r="K482" s="171" t="s">
        <v>1153</v>
      </c>
      <c r="L482" s="172">
        <v>0</v>
      </c>
      <c r="M482" s="2">
        <v>1</v>
      </c>
      <c r="N482" s="2">
        <f t="shared" si="7"/>
        <v>5</v>
      </c>
    </row>
    <row r="483" spans="1:14">
      <c r="A483" s="83">
        <v>241</v>
      </c>
      <c r="B483" s="84" t="s">
        <v>349</v>
      </c>
      <c r="C483" s="84" t="s">
        <v>348</v>
      </c>
      <c r="D483" s="84" t="s">
        <v>1658</v>
      </c>
      <c r="E483" s="68">
        <v>81</v>
      </c>
      <c r="F483" s="84" t="s">
        <v>546</v>
      </c>
      <c r="G483" s="85">
        <v>4</v>
      </c>
      <c r="H483" s="86" t="s">
        <v>594</v>
      </c>
      <c r="I483" s="86" t="s">
        <v>529</v>
      </c>
      <c r="J483" s="86" t="s">
        <v>938</v>
      </c>
      <c r="K483" s="166" t="s">
        <v>1153</v>
      </c>
      <c r="L483" s="167">
        <v>0</v>
      </c>
      <c r="M483" s="2">
        <v>1</v>
      </c>
      <c r="N483" s="2">
        <f t="shared" si="7"/>
        <v>5</v>
      </c>
    </row>
    <row r="484" spans="1:14">
      <c r="A484" s="83">
        <v>241</v>
      </c>
      <c r="B484" s="84" t="s">
        <v>349</v>
      </c>
      <c r="C484" s="84" t="s">
        <v>348</v>
      </c>
      <c r="D484" s="84" t="s">
        <v>1658</v>
      </c>
      <c r="E484" s="68">
        <v>28</v>
      </c>
      <c r="F484" s="84" t="s">
        <v>570</v>
      </c>
      <c r="G484" s="85">
        <v>5</v>
      </c>
      <c r="H484" s="86" t="s">
        <v>594</v>
      </c>
      <c r="I484" s="86" t="s">
        <v>529</v>
      </c>
      <c r="J484" s="86" t="s">
        <v>938</v>
      </c>
      <c r="K484" s="166" t="s">
        <v>1153</v>
      </c>
      <c r="L484" s="167">
        <v>0</v>
      </c>
      <c r="M484" s="2">
        <v>1</v>
      </c>
      <c r="N484" s="2">
        <f t="shared" si="7"/>
        <v>5</v>
      </c>
    </row>
    <row r="485" spans="1:14">
      <c r="A485" s="16">
        <v>242</v>
      </c>
      <c r="B485" s="17" t="s">
        <v>46</v>
      </c>
      <c r="C485" s="17" t="s">
        <v>25</v>
      </c>
      <c r="D485" s="17" t="s">
        <v>1658</v>
      </c>
      <c r="E485" s="68">
        <v>97</v>
      </c>
      <c r="F485" s="17" t="s">
        <v>939</v>
      </c>
      <c r="G485" s="65">
        <v>1</v>
      </c>
      <c r="H485" s="66" t="s">
        <v>972</v>
      </c>
      <c r="I485" s="66" t="s">
        <v>939</v>
      </c>
      <c r="J485" s="66" t="s">
        <v>939</v>
      </c>
      <c r="K485" s="157">
        <v>0</v>
      </c>
      <c r="L485" s="170">
        <v>0</v>
      </c>
      <c r="M485" s="2">
        <v>2</v>
      </c>
      <c r="N485" s="2">
        <f t="shared" si="7"/>
        <v>2</v>
      </c>
    </row>
    <row r="486" spans="1:14">
      <c r="A486" s="89">
        <v>242</v>
      </c>
      <c r="B486" s="90" t="s">
        <v>46</v>
      </c>
      <c r="C486" s="90" t="s">
        <v>25</v>
      </c>
      <c r="D486" s="90" t="s">
        <v>1658</v>
      </c>
      <c r="E486" s="68">
        <v>33</v>
      </c>
      <c r="F486" s="90" t="s">
        <v>1580</v>
      </c>
      <c r="G486" s="91">
        <v>2</v>
      </c>
      <c r="H486" s="92" t="s">
        <v>972</v>
      </c>
      <c r="I486" s="92" t="s">
        <v>939</v>
      </c>
      <c r="J486" s="92" t="s">
        <v>939</v>
      </c>
      <c r="K486" s="168">
        <v>0</v>
      </c>
      <c r="L486" s="169">
        <v>0</v>
      </c>
      <c r="M486" s="2">
        <v>2</v>
      </c>
      <c r="N486" s="2">
        <f t="shared" si="7"/>
        <v>2</v>
      </c>
    </row>
    <row r="487" spans="1:14">
      <c r="A487" s="83">
        <v>243</v>
      </c>
      <c r="B487" s="84" t="s">
        <v>877</v>
      </c>
      <c r="C487" s="84" t="s">
        <v>195</v>
      </c>
      <c r="D487" s="84" t="s">
        <v>1659</v>
      </c>
      <c r="E487" s="68">
        <v>60</v>
      </c>
      <c r="F487" s="84" t="s">
        <v>555</v>
      </c>
      <c r="G487" s="85">
        <v>1</v>
      </c>
      <c r="H487" s="86" t="s">
        <v>1033</v>
      </c>
      <c r="I487" s="86"/>
      <c r="J487" s="86"/>
      <c r="K487" s="166">
        <v>0</v>
      </c>
      <c r="L487" s="167">
        <v>0</v>
      </c>
      <c r="M487" s="2">
        <v>1</v>
      </c>
      <c r="N487" s="2">
        <f t="shared" si="7"/>
        <v>1</v>
      </c>
    </row>
    <row r="488" spans="1:14">
      <c r="A488" s="16">
        <v>246</v>
      </c>
      <c r="B488" s="17" t="s">
        <v>353</v>
      </c>
      <c r="C488" s="17" t="s">
        <v>879</v>
      </c>
      <c r="D488" s="17" t="s">
        <v>1660</v>
      </c>
      <c r="E488" s="68">
        <v>31</v>
      </c>
      <c r="F488" s="17" t="s">
        <v>1590</v>
      </c>
      <c r="G488" s="65">
        <v>1</v>
      </c>
      <c r="H488" s="66" t="s">
        <v>1028</v>
      </c>
      <c r="I488" s="66"/>
      <c r="J488" s="66" t="s">
        <v>1590</v>
      </c>
      <c r="K488" s="157" t="s">
        <v>1153</v>
      </c>
      <c r="L488" s="170">
        <v>0</v>
      </c>
      <c r="M488" s="2">
        <v>2</v>
      </c>
      <c r="N488" s="2">
        <f t="shared" si="7"/>
        <v>3</v>
      </c>
    </row>
    <row r="489" spans="1:14">
      <c r="A489" s="16">
        <v>246</v>
      </c>
      <c r="B489" s="17" t="s">
        <v>353</v>
      </c>
      <c r="C489" s="17" t="s">
        <v>879</v>
      </c>
      <c r="D489" s="17" t="s">
        <v>1660</v>
      </c>
      <c r="E489" s="68">
        <v>22</v>
      </c>
      <c r="F489" s="17" t="s">
        <v>956</v>
      </c>
      <c r="G489" s="65">
        <v>2</v>
      </c>
      <c r="H489" s="66" t="s">
        <v>1028</v>
      </c>
      <c r="I489" s="66"/>
      <c r="J489" s="66" t="s">
        <v>1590</v>
      </c>
      <c r="K489" s="157" t="s">
        <v>1153</v>
      </c>
      <c r="L489" s="170">
        <v>0</v>
      </c>
      <c r="M489" s="2">
        <v>2</v>
      </c>
      <c r="N489" s="2">
        <f t="shared" si="7"/>
        <v>3</v>
      </c>
    </row>
    <row r="490" spans="1:14">
      <c r="A490" s="16">
        <v>246</v>
      </c>
      <c r="B490" s="17" t="s">
        <v>353</v>
      </c>
      <c r="C490" s="17" t="s">
        <v>879</v>
      </c>
      <c r="D490" s="17" t="s">
        <v>1660</v>
      </c>
      <c r="E490" s="68">
        <v>21</v>
      </c>
      <c r="F490" s="17" t="s">
        <v>950</v>
      </c>
      <c r="G490" s="65">
        <v>3</v>
      </c>
      <c r="H490" s="66" t="s">
        <v>1028</v>
      </c>
      <c r="I490" s="66"/>
      <c r="J490" s="66" t="s">
        <v>1590</v>
      </c>
      <c r="K490" s="157" t="s">
        <v>1153</v>
      </c>
      <c r="L490" s="170">
        <v>0</v>
      </c>
      <c r="M490" s="2">
        <v>2</v>
      </c>
      <c r="N490" s="2">
        <f t="shared" si="7"/>
        <v>3</v>
      </c>
    </row>
    <row r="491" spans="1:14">
      <c r="A491" s="83">
        <v>248</v>
      </c>
      <c r="B491" s="84" t="s">
        <v>89</v>
      </c>
      <c r="C491" s="84" t="s">
        <v>350</v>
      </c>
      <c r="D491" s="84" t="s">
        <v>1660</v>
      </c>
      <c r="E491" s="68">
        <v>9</v>
      </c>
      <c r="F491" s="84" t="s">
        <v>537</v>
      </c>
      <c r="G491" s="85">
        <v>1</v>
      </c>
      <c r="H491" s="86" t="s">
        <v>975</v>
      </c>
      <c r="I491" s="86" t="s">
        <v>1134</v>
      </c>
      <c r="J491" s="86" t="s">
        <v>1041</v>
      </c>
      <c r="K491" s="166">
        <v>0</v>
      </c>
      <c r="L491" s="167">
        <v>0</v>
      </c>
      <c r="M491" s="2">
        <v>1</v>
      </c>
      <c r="N491" s="2">
        <f t="shared" si="7"/>
        <v>5</v>
      </c>
    </row>
    <row r="492" spans="1:14">
      <c r="A492" s="83">
        <v>248</v>
      </c>
      <c r="B492" s="84" t="s">
        <v>89</v>
      </c>
      <c r="C492" s="84" t="s">
        <v>350</v>
      </c>
      <c r="D492" s="84" t="s">
        <v>1660</v>
      </c>
      <c r="E492" s="68">
        <v>54</v>
      </c>
      <c r="F492" s="84" t="s">
        <v>1603</v>
      </c>
      <c r="G492" s="85">
        <v>2</v>
      </c>
      <c r="H492" s="86" t="s">
        <v>975</v>
      </c>
      <c r="I492" s="86" t="s">
        <v>1134</v>
      </c>
      <c r="J492" s="86" t="s">
        <v>1041</v>
      </c>
      <c r="K492" s="166">
        <v>0</v>
      </c>
      <c r="L492" s="167">
        <v>0</v>
      </c>
      <c r="M492" s="2">
        <v>1</v>
      </c>
      <c r="N492" s="2">
        <f t="shared" si="7"/>
        <v>5</v>
      </c>
    </row>
    <row r="493" spans="1:14">
      <c r="A493" s="83">
        <v>248</v>
      </c>
      <c r="B493" s="84" t="s">
        <v>89</v>
      </c>
      <c r="C493" s="84" t="s">
        <v>350</v>
      </c>
      <c r="D493" s="84" t="s">
        <v>1660</v>
      </c>
      <c r="E493" s="68">
        <v>85</v>
      </c>
      <c r="F493" s="84" t="s">
        <v>1578</v>
      </c>
      <c r="G493" s="85">
        <v>3</v>
      </c>
      <c r="H493" s="86" t="s">
        <v>975</v>
      </c>
      <c r="I493" s="86" t="s">
        <v>1134</v>
      </c>
      <c r="J493" s="86" t="s">
        <v>1041</v>
      </c>
      <c r="K493" s="166">
        <v>0</v>
      </c>
      <c r="L493" s="167">
        <v>0</v>
      </c>
      <c r="M493" s="2">
        <v>1</v>
      </c>
      <c r="N493" s="2">
        <f t="shared" si="7"/>
        <v>5</v>
      </c>
    </row>
    <row r="494" spans="1:14">
      <c r="A494" s="83">
        <v>248</v>
      </c>
      <c r="B494" s="84" t="s">
        <v>89</v>
      </c>
      <c r="C494" s="84" t="s">
        <v>350</v>
      </c>
      <c r="D494" s="84" t="s">
        <v>1660</v>
      </c>
      <c r="E494" s="68">
        <v>93</v>
      </c>
      <c r="F494" s="84" t="s">
        <v>942</v>
      </c>
      <c r="G494" s="85">
        <v>4</v>
      </c>
      <c r="H494" s="86" t="s">
        <v>975</v>
      </c>
      <c r="I494" s="86" t="s">
        <v>1134</v>
      </c>
      <c r="J494" s="86" t="s">
        <v>1041</v>
      </c>
      <c r="K494" s="166">
        <v>0</v>
      </c>
      <c r="L494" s="167">
        <v>0</v>
      </c>
      <c r="M494" s="2">
        <v>1</v>
      </c>
      <c r="N494" s="2">
        <f t="shared" si="7"/>
        <v>5</v>
      </c>
    </row>
    <row r="495" spans="1:14">
      <c r="A495" s="83">
        <v>248</v>
      </c>
      <c r="B495" s="84" t="s">
        <v>89</v>
      </c>
      <c r="C495" s="84" t="s">
        <v>350</v>
      </c>
      <c r="D495" s="84" t="s">
        <v>1660</v>
      </c>
      <c r="E495" s="68">
        <v>29</v>
      </c>
      <c r="F495" s="84" t="s">
        <v>571</v>
      </c>
      <c r="G495" s="85">
        <v>5</v>
      </c>
      <c r="H495" s="86" t="s">
        <v>975</v>
      </c>
      <c r="I495" s="86" t="s">
        <v>1134</v>
      </c>
      <c r="J495" s="86" t="s">
        <v>1041</v>
      </c>
      <c r="K495" s="166">
        <v>0</v>
      </c>
      <c r="L495" s="167">
        <v>0</v>
      </c>
      <c r="M495" s="2">
        <v>1</v>
      </c>
      <c r="N495" s="2">
        <f t="shared" si="7"/>
        <v>5</v>
      </c>
    </row>
    <row r="496" spans="1:14">
      <c r="A496" s="89">
        <v>252</v>
      </c>
      <c r="B496" s="90" t="s">
        <v>99</v>
      </c>
      <c r="C496" s="90" t="s">
        <v>354</v>
      </c>
      <c r="D496" s="90" t="s">
        <v>1661</v>
      </c>
      <c r="E496" s="68">
        <v>2</v>
      </c>
      <c r="F496" s="90" t="s">
        <v>529</v>
      </c>
      <c r="G496" s="91">
        <v>1</v>
      </c>
      <c r="H496" s="92" t="s">
        <v>587</v>
      </c>
      <c r="I496" s="92" t="s">
        <v>1616</v>
      </c>
      <c r="J496" s="92" t="s">
        <v>1616</v>
      </c>
      <c r="K496" s="168">
        <v>0</v>
      </c>
      <c r="L496" s="169">
        <v>0</v>
      </c>
      <c r="M496" s="2">
        <v>2</v>
      </c>
      <c r="N496" s="2">
        <f t="shared" si="7"/>
        <v>5</v>
      </c>
    </row>
    <row r="497" spans="1:14">
      <c r="A497" s="16">
        <v>252</v>
      </c>
      <c r="B497" s="17" t="s">
        <v>99</v>
      </c>
      <c r="C497" s="17" t="s">
        <v>354</v>
      </c>
      <c r="D497" s="17" t="s">
        <v>1661</v>
      </c>
      <c r="E497" s="68">
        <v>3</v>
      </c>
      <c r="F497" s="17" t="s">
        <v>1616</v>
      </c>
      <c r="G497" s="65">
        <v>2</v>
      </c>
      <c r="H497" s="66" t="s">
        <v>587</v>
      </c>
      <c r="I497" s="66" t="s">
        <v>1616</v>
      </c>
      <c r="J497" s="66" t="s">
        <v>1616</v>
      </c>
      <c r="K497" s="157">
        <v>0</v>
      </c>
      <c r="L497" s="170">
        <v>0</v>
      </c>
      <c r="M497" s="2">
        <v>2</v>
      </c>
      <c r="N497" s="2">
        <f t="shared" si="7"/>
        <v>5</v>
      </c>
    </row>
    <row r="498" spans="1:14">
      <c r="A498" s="16">
        <v>252</v>
      </c>
      <c r="B498" s="17" t="s">
        <v>99</v>
      </c>
      <c r="C498" s="17" t="s">
        <v>354</v>
      </c>
      <c r="D498" s="17" t="s">
        <v>1661</v>
      </c>
      <c r="E498" s="68">
        <v>5</v>
      </c>
      <c r="F498" s="17" t="s">
        <v>1579</v>
      </c>
      <c r="G498" s="65">
        <v>3</v>
      </c>
      <c r="H498" s="66" t="s">
        <v>587</v>
      </c>
      <c r="I498" s="66" t="s">
        <v>1616</v>
      </c>
      <c r="J498" s="66" t="s">
        <v>1616</v>
      </c>
      <c r="K498" s="157">
        <v>0</v>
      </c>
      <c r="L498" s="170">
        <v>0</v>
      </c>
      <c r="M498" s="2">
        <v>2</v>
      </c>
      <c r="N498" s="2">
        <f t="shared" si="7"/>
        <v>5</v>
      </c>
    </row>
    <row r="499" spans="1:14">
      <c r="A499" s="16">
        <v>252</v>
      </c>
      <c r="B499" s="17" t="s">
        <v>99</v>
      </c>
      <c r="C499" s="17" t="s">
        <v>354</v>
      </c>
      <c r="D499" s="17" t="s">
        <v>1661</v>
      </c>
      <c r="E499" s="68">
        <v>36</v>
      </c>
      <c r="F499" s="17" t="s">
        <v>557</v>
      </c>
      <c r="G499" s="65">
        <v>4</v>
      </c>
      <c r="H499" s="66" t="s">
        <v>587</v>
      </c>
      <c r="I499" s="66" t="s">
        <v>1616</v>
      </c>
      <c r="J499" s="66" t="s">
        <v>1616</v>
      </c>
      <c r="K499" s="157">
        <v>0</v>
      </c>
      <c r="L499" s="170">
        <v>0</v>
      </c>
      <c r="M499" s="2">
        <v>2</v>
      </c>
      <c r="N499" s="2">
        <f t="shared" si="7"/>
        <v>5</v>
      </c>
    </row>
    <row r="500" spans="1:14">
      <c r="A500" s="16">
        <v>252</v>
      </c>
      <c r="B500" s="17" t="s">
        <v>99</v>
      </c>
      <c r="C500" s="17" t="s">
        <v>354</v>
      </c>
      <c r="D500" s="17" t="s">
        <v>1661</v>
      </c>
      <c r="E500" s="68">
        <v>37</v>
      </c>
      <c r="F500" s="17" t="s">
        <v>1606</v>
      </c>
      <c r="G500" s="65">
        <v>5</v>
      </c>
      <c r="H500" s="66" t="s">
        <v>587</v>
      </c>
      <c r="I500" s="66" t="s">
        <v>1616</v>
      </c>
      <c r="J500" s="66" t="s">
        <v>1616</v>
      </c>
      <c r="K500" s="157">
        <v>0</v>
      </c>
      <c r="L500" s="170">
        <v>0</v>
      </c>
      <c r="M500" s="2">
        <v>2</v>
      </c>
      <c r="N500" s="2">
        <f t="shared" si="7"/>
        <v>5</v>
      </c>
    </row>
    <row r="501" spans="1:14">
      <c r="A501" s="99">
        <v>253</v>
      </c>
      <c r="B501" s="100" t="s">
        <v>107</v>
      </c>
      <c r="C501" s="100" t="s">
        <v>355</v>
      </c>
      <c r="D501" s="100" t="s">
        <v>1661</v>
      </c>
      <c r="E501" s="68">
        <v>60</v>
      </c>
      <c r="F501" s="100" t="s">
        <v>555</v>
      </c>
      <c r="G501" s="101">
        <v>1</v>
      </c>
      <c r="H501" s="102" t="s">
        <v>978</v>
      </c>
      <c r="I501" s="102" t="s">
        <v>555</v>
      </c>
      <c r="J501" s="102" t="s">
        <v>1602</v>
      </c>
      <c r="K501" s="171" t="s">
        <v>1163</v>
      </c>
      <c r="L501" s="172">
        <v>0</v>
      </c>
      <c r="M501" s="2">
        <v>1</v>
      </c>
      <c r="N501" s="2">
        <f t="shared" si="7"/>
        <v>1</v>
      </c>
    </row>
    <row r="502" spans="1:14">
      <c r="A502" s="16">
        <v>256</v>
      </c>
      <c r="B502" s="17" t="s">
        <v>358</v>
      </c>
      <c r="C502" s="17" t="s">
        <v>357</v>
      </c>
      <c r="D502" s="17" t="s">
        <v>1662</v>
      </c>
      <c r="E502" s="68">
        <v>18</v>
      </c>
      <c r="F502" s="17" t="s">
        <v>1588</v>
      </c>
      <c r="G502" s="65">
        <v>1</v>
      </c>
      <c r="H502" s="66" t="s">
        <v>1019</v>
      </c>
      <c r="I502" s="66" t="s">
        <v>1605</v>
      </c>
      <c r="J502" s="173" t="s">
        <v>615</v>
      </c>
      <c r="K502" s="157"/>
      <c r="L502" s="170"/>
      <c r="M502" s="2">
        <v>2</v>
      </c>
      <c r="N502" s="2">
        <f t="shared" si="7"/>
        <v>4</v>
      </c>
    </row>
    <row r="503" spans="1:14">
      <c r="A503" s="16">
        <v>256</v>
      </c>
      <c r="B503" s="17" t="s">
        <v>358</v>
      </c>
      <c r="C503" s="17" t="s">
        <v>357</v>
      </c>
      <c r="D503" s="17" t="s">
        <v>1662</v>
      </c>
      <c r="E503" s="68">
        <v>19</v>
      </c>
      <c r="F503" s="17" t="s">
        <v>615</v>
      </c>
      <c r="G503" s="65">
        <v>2</v>
      </c>
      <c r="H503" s="66" t="s">
        <v>1019</v>
      </c>
      <c r="I503" s="66" t="s">
        <v>1605</v>
      </c>
      <c r="J503" s="173" t="s">
        <v>615</v>
      </c>
      <c r="K503" s="157"/>
      <c r="L503" s="170"/>
      <c r="M503" s="2">
        <v>2</v>
      </c>
      <c r="N503" s="2">
        <f t="shared" si="7"/>
        <v>4</v>
      </c>
    </row>
    <row r="504" spans="1:14">
      <c r="A504" s="16">
        <v>256</v>
      </c>
      <c r="B504" s="17" t="s">
        <v>358</v>
      </c>
      <c r="C504" s="17" t="s">
        <v>357</v>
      </c>
      <c r="D504" s="17" t="s">
        <v>1662</v>
      </c>
      <c r="E504" s="68">
        <v>22</v>
      </c>
      <c r="F504" s="17" t="s">
        <v>956</v>
      </c>
      <c r="G504" s="65">
        <v>3</v>
      </c>
      <c r="H504" s="66" t="s">
        <v>1019</v>
      </c>
      <c r="I504" s="66" t="s">
        <v>1605</v>
      </c>
      <c r="J504" s="173" t="s">
        <v>615</v>
      </c>
      <c r="K504" s="157"/>
      <c r="L504" s="170"/>
      <c r="M504" s="2">
        <v>2</v>
      </c>
      <c r="N504" s="2">
        <f t="shared" si="7"/>
        <v>4</v>
      </c>
    </row>
    <row r="505" spans="1:14">
      <c r="A505" s="16">
        <v>256</v>
      </c>
      <c r="B505" s="17" t="s">
        <v>358</v>
      </c>
      <c r="C505" s="17" t="s">
        <v>357</v>
      </c>
      <c r="D505" s="17" t="s">
        <v>1662</v>
      </c>
      <c r="E505" s="81">
        <v>55</v>
      </c>
      <c r="F505" s="17" t="s">
        <v>1585</v>
      </c>
      <c r="G505" s="65">
        <v>4</v>
      </c>
      <c r="H505" s="66" t="s">
        <v>1019</v>
      </c>
      <c r="I505" s="66" t="s">
        <v>1605</v>
      </c>
      <c r="J505" s="173" t="s">
        <v>615</v>
      </c>
      <c r="K505" s="157"/>
      <c r="L505" s="170"/>
      <c r="M505" s="2">
        <v>2</v>
      </c>
      <c r="N505" s="2">
        <f t="shared" si="7"/>
        <v>4</v>
      </c>
    </row>
    <row r="506" spans="1:14">
      <c r="A506" s="83">
        <v>257</v>
      </c>
      <c r="B506" s="84" t="s">
        <v>888</v>
      </c>
      <c r="C506" s="84" t="s">
        <v>294</v>
      </c>
      <c r="D506" s="84" t="s">
        <v>1663</v>
      </c>
      <c r="E506" s="68">
        <v>31</v>
      </c>
      <c r="F506" s="84" t="s">
        <v>1590</v>
      </c>
      <c r="G506" s="85">
        <v>1</v>
      </c>
      <c r="H506" s="86" t="s">
        <v>602</v>
      </c>
      <c r="I506" s="86" t="s">
        <v>1078</v>
      </c>
      <c r="J506" s="86" t="s">
        <v>1590</v>
      </c>
      <c r="K506" s="166">
        <v>0</v>
      </c>
      <c r="L506" s="167">
        <v>0</v>
      </c>
      <c r="M506" s="2">
        <v>1</v>
      </c>
      <c r="N506" s="2">
        <f t="shared" si="7"/>
        <v>5</v>
      </c>
    </row>
    <row r="507" spans="1:14">
      <c r="A507" s="99">
        <v>257</v>
      </c>
      <c r="B507" s="100" t="s">
        <v>888</v>
      </c>
      <c r="C507" s="100" t="s">
        <v>294</v>
      </c>
      <c r="D507" s="100" t="s">
        <v>1663</v>
      </c>
      <c r="E507" s="68">
        <v>55</v>
      </c>
      <c r="F507" s="100" t="s">
        <v>1585</v>
      </c>
      <c r="G507" s="101">
        <v>2</v>
      </c>
      <c r="H507" s="102" t="s">
        <v>602</v>
      </c>
      <c r="I507" s="102" t="s">
        <v>1078</v>
      </c>
      <c r="J507" s="102" t="s">
        <v>1590</v>
      </c>
      <c r="K507" s="171">
        <v>0</v>
      </c>
      <c r="L507" s="172">
        <v>0</v>
      </c>
      <c r="M507" s="2">
        <v>1</v>
      </c>
      <c r="N507" s="2">
        <f t="shared" si="7"/>
        <v>5</v>
      </c>
    </row>
    <row r="508" spans="1:14">
      <c r="A508" s="83">
        <v>257</v>
      </c>
      <c r="B508" s="84" t="s">
        <v>888</v>
      </c>
      <c r="C508" s="84" t="s">
        <v>294</v>
      </c>
      <c r="D508" s="84" t="s">
        <v>1663</v>
      </c>
      <c r="E508" s="68">
        <v>27</v>
      </c>
      <c r="F508" s="84" t="s">
        <v>569</v>
      </c>
      <c r="G508" s="85">
        <v>3</v>
      </c>
      <c r="H508" s="86" t="s">
        <v>602</v>
      </c>
      <c r="I508" s="86" t="s">
        <v>1078</v>
      </c>
      <c r="J508" s="86" t="s">
        <v>1590</v>
      </c>
      <c r="K508" s="166">
        <v>0</v>
      </c>
      <c r="L508" s="167">
        <v>0</v>
      </c>
      <c r="M508" s="2">
        <v>1</v>
      </c>
      <c r="N508" s="2">
        <f t="shared" si="7"/>
        <v>5</v>
      </c>
    </row>
    <row r="509" spans="1:14">
      <c r="A509" s="83">
        <v>257</v>
      </c>
      <c r="B509" s="84" t="s">
        <v>888</v>
      </c>
      <c r="C509" s="84" t="s">
        <v>294</v>
      </c>
      <c r="D509" s="84" t="s">
        <v>1663</v>
      </c>
      <c r="E509" s="68">
        <v>84</v>
      </c>
      <c r="F509" s="84" t="s">
        <v>1574</v>
      </c>
      <c r="G509" s="85">
        <v>4</v>
      </c>
      <c r="H509" s="86" t="s">
        <v>602</v>
      </c>
      <c r="I509" s="86" t="s">
        <v>1078</v>
      </c>
      <c r="J509" s="86" t="s">
        <v>1590</v>
      </c>
      <c r="K509" s="166">
        <v>0</v>
      </c>
      <c r="L509" s="167">
        <v>0</v>
      </c>
      <c r="M509" s="2">
        <v>1</v>
      </c>
      <c r="N509" s="2">
        <f t="shared" si="7"/>
        <v>5</v>
      </c>
    </row>
    <row r="510" spans="1:14">
      <c r="A510" s="83">
        <v>257</v>
      </c>
      <c r="B510" s="84" t="s">
        <v>888</v>
      </c>
      <c r="C510" s="84" t="s">
        <v>294</v>
      </c>
      <c r="D510" s="84" t="s">
        <v>1663</v>
      </c>
      <c r="E510" s="68">
        <v>75</v>
      </c>
      <c r="F510" s="84" t="s">
        <v>1617</v>
      </c>
      <c r="G510" s="85">
        <v>5</v>
      </c>
      <c r="H510" s="86" t="s">
        <v>602</v>
      </c>
      <c r="I510" s="86" t="s">
        <v>1078</v>
      </c>
      <c r="J510" s="86" t="s">
        <v>1590</v>
      </c>
      <c r="K510" s="166">
        <v>0</v>
      </c>
      <c r="L510" s="167">
        <v>0</v>
      </c>
      <c r="M510" s="2">
        <v>1</v>
      </c>
      <c r="N510" s="2">
        <f t="shared" si="7"/>
        <v>5</v>
      </c>
    </row>
    <row r="511" spans="1:14">
      <c r="A511" s="16">
        <v>258</v>
      </c>
      <c r="B511" s="17" t="s">
        <v>361</v>
      </c>
      <c r="C511" s="17" t="s">
        <v>360</v>
      </c>
      <c r="D511" s="17" t="s">
        <v>1663</v>
      </c>
      <c r="E511" s="68">
        <v>80</v>
      </c>
      <c r="F511" s="17" t="s">
        <v>1594</v>
      </c>
      <c r="G511" s="65">
        <v>1</v>
      </c>
      <c r="H511" s="66" t="s">
        <v>604</v>
      </c>
      <c r="I511" s="66"/>
      <c r="J511" s="66"/>
      <c r="K511" s="157">
        <v>0</v>
      </c>
      <c r="L511" s="170">
        <v>0</v>
      </c>
      <c r="M511" s="2">
        <v>2</v>
      </c>
      <c r="N511" s="2">
        <f t="shared" si="7"/>
        <v>1</v>
      </c>
    </row>
    <row r="512" spans="1:14">
      <c r="A512" s="83">
        <v>260</v>
      </c>
      <c r="B512" s="84" t="s">
        <v>891</v>
      </c>
      <c r="C512" s="84" t="s">
        <v>890</v>
      </c>
      <c r="D512" s="84" t="s">
        <v>1664</v>
      </c>
      <c r="E512" s="68">
        <v>61</v>
      </c>
      <c r="F512" s="84" t="s">
        <v>1608</v>
      </c>
      <c r="G512" s="85">
        <v>1</v>
      </c>
      <c r="H512" s="86" t="s">
        <v>599</v>
      </c>
      <c r="I512" s="86"/>
      <c r="J512" s="86"/>
      <c r="K512" s="166">
        <v>0</v>
      </c>
      <c r="L512" s="167">
        <v>0</v>
      </c>
      <c r="M512" s="2">
        <v>1</v>
      </c>
      <c r="N512" s="2">
        <f t="shared" si="7"/>
        <v>5</v>
      </c>
    </row>
    <row r="513" spans="1:14">
      <c r="A513" s="83">
        <v>260</v>
      </c>
      <c r="B513" s="84" t="s">
        <v>891</v>
      </c>
      <c r="C513" s="84" t="s">
        <v>890</v>
      </c>
      <c r="D513" s="84" t="s">
        <v>1664</v>
      </c>
      <c r="E513" s="68">
        <v>20</v>
      </c>
      <c r="F513" s="84" t="s">
        <v>1587</v>
      </c>
      <c r="G513" s="85">
        <v>2</v>
      </c>
      <c r="H513" s="86" t="s">
        <v>599</v>
      </c>
      <c r="I513" s="86"/>
      <c r="J513" s="86"/>
      <c r="K513" s="166">
        <v>0</v>
      </c>
      <c r="L513" s="167">
        <v>0</v>
      </c>
      <c r="M513" s="2">
        <v>1</v>
      </c>
      <c r="N513" s="2">
        <f t="shared" si="7"/>
        <v>5</v>
      </c>
    </row>
    <row r="514" spans="1:14">
      <c r="A514" s="83">
        <v>260</v>
      </c>
      <c r="B514" s="84" t="s">
        <v>891</v>
      </c>
      <c r="C514" s="84" t="s">
        <v>890</v>
      </c>
      <c r="D514" s="84" t="s">
        <v>1664</v>
      </c>
      <c r="E514" s="68">
        <v>28</v>
      </c>
      <c r="F514" s="84" t="s">
        <v>570</v>
      </c>
      <c r="G514" s="85">
        <v>3</v>
      </c>
      <c r="H514" s="86" t="s">
        <v>599</v>
      </c>
      <c r="I514" s="86"/>
      <c r="J514" s="86"/>
      <c r="K514" s="166">
        <v>0</v>
      </c>
      <c r="L514" s="167">
        <v>0</v>
      </c>
      <c r="M514" s="2">
        <v>1</v>
      </c>
      <c r="N514" s="2">
        <f t="shared" si="7"/>
        <v>5</v>
      </c>
    </row>
    <row r="515" spans="1:14">
      <c r="A515" s="83">
        <v>260</v>
      </c>
      <c r="B515" s="84" t="s">
        <v>891</v>
      </c>
      <c r="C515" s="84" t="s">
        <v>890</v>
      </c>
      <c r="D515" s="84" t="s">
        <v>1664</v>
      </c>
      <c r="E515" s="68">
        <v>53</v>
      </c>
      <c r="F515" s="84" t="s">
        <v>562</v>
      </c>
      <c r="G515" s="85">
        <v>4</v>
      </c>
      <c r="H515" s="86" t="s">
        <v>599</v>
      </c>
      <c r="I515" s="86"/>
      <c r="J515" s="86"/>
      <c r="K515" s="166">
        <v>0</v>
      </c>
      <c r="L515" s="167">
        <v>0</v>
      </c>
      <c r="M515" s="2">
        <v>1</v>
      </c>
      <c r="N515" s="2">
        <f t="shared" ref="N515:N582" si="8">COUNTIF(A:A,A515)</f>
        <v>5</v>
      </c>
    </row>
    <row r="516" spans="1:14">
      <c r="A516" s="83">
        <v>260</v>
      </c>
      <c r="B516" s="84" t="s">
        <v>891</v>
      </c>
      <c r="C516" s="84" t="s">
        <v>890</v>
      </c>
      <c r="D516" s="84" t="s">
        <v>1664</v>
      </c>
      <c r="E516" s="68">
        <v>78</v>
      </c>
      <c r="F516" s="84" t="s">
        <v>1589</v>
      </c>
      <c r="G516" s="85">
        <v>5</v>
      </c>
      <c r="H516" s="86" t="s">
        <v>599</v>
      </c>
      <c r="I516" s="86" t="s">
        <v>1605</v>
      </c>
      <c r="J516" s="86"/>
      <c r="K516" s="166">
        <v>0</v>
      </c>
      <c r="L516" s="167">
        <v>0</v>
      </c>
      <c r="M516" s="2">
        <v>1</v>
      </c>
      <c r="N516" s="2">
        <f t="shared" si="8"/>
        <v>5</v>
      </c>
    </row>
    <row r="517" spans="1:14">
      <c r="A517" s="89">
        <v>261</v>
      </c>
      <c r="B517" s="90" t="s">
        <v>16</v>
      </c>
      <c r="C517" s="90" t="s">
        <v>893</v>
      </c>
      <c r="D517" s="90" t="s">
        <v>1664</v>
      </c>
      <c r="E517" s="68">
        <v>18</v>
      </c>
      <c r="F517" s="17" t="s">
        <v>1588</v>
      </c>
      <c r="G517" s="91">
        <v>1</v>
      </c>
      <c r="H517" s="92" t="s">
        <v>589</v>
      </c>
      <c r="I517" s="92"/>
      <c r="J517" s="92" t="s">
        <v>1700</v>
      </c>
      <c r="K517" s="168">
        <v>0</v>
      </c>
      <c r="L517" s="169">
        <v>0</v>
      </c>
      <c r="M517" s="2">
        <v>2</v>
      </c>
      <c r="N517" s="2">
        <f t="shared" si="8"/>
        <v>5</v>
      </c>
    </row>
    <row r="518" spans="1:14">
      <c r="A518" s="16">
        <v>261</v>
      </c>
      <c r="B518" s="17" t="s">
        <v>16</v>
      </c>
      <c r="C518" s="17" t="s">
        <v>893</v>
      </c>
      <c r="D518" s="17" t="s">
        <v>1664</v>
      </c>
      <c r="E518" s="68">
        <v>26</v>
      </c>
      <c r="F518" s="17" t="s">
        <v>1573</v>
      </c>
      <c r="G518" s="65">
        <v>2</v>
      </c>
      <c r="H518" s="66" t="s">
        <v>589</v>
      </c>
      <c r="I518" s="66"/>
      <c r="J518" s="66" t="s">
        <v>1700</v>
      </c>
      <c r="K518" s="157">
        <v>0</v>
      </c>
      <c r="L518" s="170">
        <v>0</v>
      </c>
      <c r="M518" s="2">
        <v>2</v>
      </c>
      <c r="N518" s="2">
        <f t="shared" si="8"/>
        <v>5</v>
      </c>
    </row>
    <row r="519" spans="1:14">
      <c r="A519" s="16">
        <v>261</v>
      </c>
      <c r="B519" s="17" t="s">
        <v>16</v>
      </c>
      <c r="C519" s="17" t="s">
        <v>893</v>
      </c>
      <c r="D519" s="17" t="s">
        <v>1664</v>
      </c>
      <c r="E519" s="68">
        <v>31</v>
      </c>
      <c r="F519" s="17" t="s">
        <v>1590</v>
      </c>
      <c r="G519" s="65">
        <v>3</v>
      </c>
      <c r="H519" s="66" t="s">
        <v>589</v>
      </c>
      <c r="I519" s="66"/>
      <c r="J519" s="66" t="s">
        <v>1700</v>
      </c>
      <c r="K519" s="157">
        <v>0</v>
      </c>
      <c r="L519" s="170">
        <v>0</v>
      </c>
      <c r="M519" s="2">
        <v>2</v>
      </c>
      <c r="N519" s="2">
        <f t="shared" si="8"/>
        <v>5</v>
      </c>
    </row>
    <row r="520" spans="1:14">
      <c r="A520" s="16">
        <v>261</v>
      </c>
      <c r="B520" s="17" t="s">
        <v>16</v>
      </c>
      <c r="C520" s="17" t="s">
        <v>893</v>
      </c>
      <c r="D520" s="17" t="s">
        <v>1664</v>
      </c>
      <c r="E520" s="68">
        <v>55</v>
      </c>
      <c r="F520" s="17" t="s">
        <v>1585</v>
      </c>
      <c r="G520" s="65">
        <v>4</v>
      </c>
      <c r="H520" s="66" t="s">
        <v>589</v>
      </c>
      <c r="I520" s="66"/>
      <c r="J520" s="66" t="s">
        <v>1700</v>
      </c>
      <c r="K520" s="157">
        <v>0</v>
      </c>
      <c r="L520" s="170">
        <v>0</v>
      </c>
      <c r="M520" s="2">
        <v>2</v>
      </c>
      <c r="N520" s="2">
        <f t="shared" si="8"/>
        <v>5</v>
      </c>
    </row>
    <row r="521" spans="1:14">
      <c r="A521" s="16">
        <v>261</v>
      </c>
      <c r="B521" s="17" t="s">
        <v>16</v>
      </c>
      <c r="C521" s="17" t="s">
        <v>893</v>
      </c>
      <c r="D521" s="17" t="s">
        <v>1664</v>
      </c>
      <c r="E521" s="68">
        <v>9</v>
      </c>
      <c r="F521" s="17" t="s">
        <v>537</v>
      </c>
      <c r="G521" s="65">
        <v>5</v>
      </c>
      <c r="H521" s="66" t="s">
        <v>589</v>
      </c>
      <c r="I521" s="66"/>
      <c r="J521" s="66" t="s">
        <v>1700</v>
      </c>
      <c r="K521" s="157">
        <v>0</v>
      </c>
      <c r="L521" s="170">
        <v>0</v>
      </c>
      <c r="M521" s="2">
        <v>2</v>
      </c>
      <c r="N521" s="2">
        <f t="shared" si="8"/>
        <v>5</v>
      </c>
    </row>
    <row r="522" spans="1:14">
      <c r="A522" s="83">
        <v>262</v>
      </c>
      <c r="B522" s="84" t="s">
        <v>40</v>
      </c>
      <c r="C522" s="84" t="s">
        <v>362</v>
      </c>
      <c r="D522" s="84" t="s">
        <v>1664</v>
      </c>
      <c r="E522" s="68">
        <v>57</v>
      </c>
      <c r="F522" s="84" t="s">
        <v>1604</v>
      </c>
      <c r="G522" s="85">
        <v>1</v>
      </c>
      <c r="H522" s="86" t="s">
        <v>595</v>
      </c>
      <c r="I522" s="86" t="s">
        <v>1604</v>
      </c>
      <c r="J522" s="86"/>
      <c r="K522" s="166">
        <v>0</v>
      </c>
      <c r="L522" s="167">
        <v>0</v>
      </c>
      <c r="M522" s="2">
        <v>1</v>
      </c>
      <c r="N522" s="2">
        <f t="shared" si="8"/>
        <v>5</v>
      </c>
    </row>
    <row r="523" spans="1:14">
      <c r="A523" s="83">
        <v>262</v>
      </c>
      <c r="B523" s="84" t="s">
        <v>40</v>
      </c>
      <c r="C523" s="84" t="s">
        <v>362</v>
      </c>
      <c r="D523" s="84" t="s">
        <v>1664</v>
      </c>
      <c r="E523" s="68">
        <v>22</v>
      </c>
      <c r="F523" s="84" t="s">
        <v>956</v>
      </c>
      <c r="G523" s="85">
        <v>2</v>
      </c>
      <c r="H523" s="86" t="s">
        <v>595</v>
      </c>
      <c r="I523" s="86" t="s">
        <v>1604</v>
      </c>
      <c r="J523" s="86"/>
      <c r="K523" s="166">
        <v>0</v>
      </c>
      <c r="L523" s="167">
        <v>0</v>
      </c>
      <c r="M523" s="2">
        <v>1</v>
      </c>
      <c r="N523" s="2">
        <f t="shared" si="8"/>
        <v>5</v>
      </c>
    </row>
    <row r="524" spans="1:14">
      <c r="A524" s="83">
        <v>262</v>
      </c>
      <c r="B524" s="84" t="s">
        <v>40</v>
      </c>
      <c r="C524" s="84" t="s">
        <v>362</v>
      </c>
      <c r="D524" s="84" t="s">
        <v>1664</v>
      </c>
      <c r="E524" s="68">
        <v>18</v>
      </c>
      <c r="F524" s="84" t="s">
        <v>1588</v>
      </c>
      <c r="G524" s="85">
        <v>3</v>
      </c>
      <c r="H524" s="86" t="s">
        <v>595</v>
      </c>
      <c r="I524" s="86" t="s">
        <v>1604</v>
      </c>
      <c r="J524" s="86"/>
      <c r="K524" s="166">
        <v>0</v>
      </c>
      <c r="L524" s="167">
        <v>0</v>
      </c>
      <c r="M524" s="2">
        <v>1</v>
      </c>
      <c r="N524" s="2">
        <f t="shared" si="8"/>
        <v>5</v>
      </c>
    </row>
    <row r="525" spans="1:14">
      <c r="A525" s="83">
        <v>262</v>
      </c>
      <c r="B525" s="84" t="s">
        <v>40</v>
      </c>
      <c r="C525" s="84" t="s">
        <v>362</v>
      </c>
      <c r="D525" s="84" t="s">
        <v>1664</v>
      </c>
      <c r="E525" s="68">
        <v>26</v>
      </c>
      <c r="F525" s="84" t="s">
        <v>1573</v>
      </c>
      <c r="G525" s="85">
        <v>4</v>
      </c>
      <c r="H525" s="86" t="s">
        <v>595</v>
      </c>
      <c r="I525" s="86" t="s">
        <v>1604</v>
      </c>
      <c r="J525" s="86"/>
      <c r="K525" s="166">
        <v>0</v>
      </c>
      <c r="L525" s="167">
        <v>0</v>
      </c>
      <c r="M525" s="2">
        <v>1</v>
      </c>
      <c r="N525" s="2">
        <f t="shared" si="8"/>
        <v>5</v>
      </c>
    </row>
    <row r="526" spans="1:14">
      <c r="A526" s="83">
        <v>262</v>
      </c>
      <c r="B526" s="84" t="s">
        <v>40</v>
      </c>
      <c r="C526" s="84" t="s">
        <v>362</v>
      </c>
      <c r="D526" s="84" t="s">
        <v>1664</v>
      </c>
      <c r="E526" s="68">
        <v>31</v>
      </c>
      <c r="F526" s="84" t="s">
        <v>1590</v>
      </c>
      <c r="G526" s="85">
        <v>5</v>
      </c>
      <c r="H526" s="86" t="s">
        <v>595</v>
      </c>
      <c r="I526" s="86" t="s">
        <v>1604</v>
      </c>
      <c r="J526" s="86"/>
      <c r="K526" s="166">
        <v>0</v>
      </c>
      <c r="L526" s="167">
        <v>0</v>
      </c>
      <c r="M526" s="2">
        <v>1</v>
      </c>
      <c r="N526" s="2">
        <f t="shared" si="8"/>
        <v>5</v>
      </c>
    </row>
    <row r="527" spans="1:14">
      <c r="A527" s="89">
        <v>266</v>
      </c>
      <c r="B527" s="90" t="s">
        <v>20</v>
      </c>
      <c r="C527" s="90" t="s">
        <v>896</v>
      </c>
      <c r="D527" s="90" t="s">
        <v>1664</v>
      </c>
      <c r="E527" s="68">
        <v>16</v>
      </c>
      <c r="F527" s="90" t="s">
        <v>544</v>
      </c>
      <c r="G527" s="91">
        <v>1</v>
      </c>
      <c r="H527" s="92" t="s">
        <v>588</v>
      </c>
      <c r="I527" s="92"/>
      <c r="J527" s="92" t="s">
        <v>1135</v>
      </c>
      <c r="K527" s="168">
        <v>0</v>
      </c>
      <c r="L527" s="169">
        <v>0</v>
      </c>
      <c r="M527" s="2">
        <v>2</v>
      </c>
      <c r="N527" s="2">
        <f t="shared" si="8"/>
        <v>5</v>
      </c>
    </row>
    <row r="528" spans="1:14">
      <c r="A528" s="16">
        <v>266</v>
      </c>
      <c r="B528" s="17" t="s">
        <v>20</v>
      </c>
      <c r="C528" s="17" t="s">
        <v>896</v>
      </c>
      <c r="D528" s="17" t="s">
        <v>1664</v>
      </c>
      <c r="E528" s="68">
        <v>13</v>
      </c>
      <c r="F528" s="17" t="s">
        <v>541</v>
      </c>
      <c r="G528" s="65">
        <v>2</v>
      </c>
      <c r="H528" s="66" t="s">
        <v>588</v>
      </c>
      <c r="I528" s="66"/>
      <c r="J528" s="66" t="s">
        <v>1135</v>
      </c>
      <c r="K528" s="157">
        <v>0</v>
      </c>
      <c r="L528" s="170">
        <v>0</v>
      </c>
      <c r="M528" s="2">
        <v>2</v>
      </c>
      <c r="N528" s="2">
        <f t="shared" si="8"/>
        <v>5</v>
      </c>
    </row>
    <row r="529" spans="1:14">
      <c r="A529" s="16">
        <v>266</v>
      </c>
      <c r="B529" s="17" t="s">
        <v>20</v>
      </c>
      <c r="C529" s="17" t="s">
        <v>896</v>
      </c>
      <c r="D529" s="17" t="s">
        <v>1664</v>
      </c>
      <c r="E529" s="68">
        <v>12</v>
      </c>
      <c r="F529" s="17" t="s">
        <v>1618</v>
      </c>
      <c r="G529" s="65">
        <v>3</v>
      </c>
      <c r="H529" s="66" t="s">
        <v>588</v>
      </c>
      <c r="I529" s="66"/>
      <c r="J529" s="66" t="s">
        <v>1135</v>
      </c>
      <c r="K529" s="157">
        <v>0</v>
      </c>
      <c r="L529" s="170">
        <v>0</v>
      </c>
      <c r="M529" s="2">
        <v>2</v>
      </c>
      <c r="N529" s="2">
        <f t="shared" si="8"/>
        <v>5</v>
      </c>
    </row>
    <row r="530" spans="1:14">
      <c r="A530" s="16">
        <v>266</v>
      </c>
      <c r="B530" s="17" t="s">
        <v>20</v>
      </c>
      <c r="C530" s="17" t="s">
        <v>896</v>
      </c>
      <c r="D530" s="17" t="s">
        <v>1664</v>
      </c>
      <c r="E530" s="68">
        <v>8</v>
      </c>
      <c r="F530" s="17" t="s">
        <v>565</v>
      </c>
      <c r="G530" s="65">
        <v>4</v>
      </c>
      <c r="H530" s="66" t="s">
        <v>588</v>
      </c>
      <c r="I530" s="66"/>
      <c r="J530" s="66" t="s">
        <v>1135</v>
      </c>
      <c r="K530" s="157">
        <v>0</v>
      </c>
      <c r="L530" s="170">
        <v>0</v>
      </c>
      <c r="M530" s="2">
        <v>2</v>
      </c>
      <c r="N530" s="2">
        <f t="shared" si="8"/>
        <v>5</v>
      </c>
    </row>
    <row r="531" spans="1:14">
      <c r="A531" s="16">
        <v>266</v>
      </c>
      <c r="B531" s="17" t="s">
        <v>20</v>
      </c>
      <c r="C531" s="17" t="s">
        <v>896</v>
      </c>
      <c r="D531" s="17" t="s">
        <v>1664</v>
      </c>
      <c r="E531" s="68">
        <v>57</v>
      </c>
      <c r="F531" s="17" t="s">
        <v>1604</v>
      </c>
      <c r="G531" s="65">
        <v>5</v>
      </c>
      <c r="H531" s="66" t="s">
        <v>588</v>
      </c>
      <c r="I531" s="66"/>
      <c r="J531" s="66" t="s">
        <v>1135</v>
      </c>
      <c r="K531" s="157">
        <v>0</v>
      </c>
      <c r="L531" s="170">
        <v>0</v>
      </c>
      <c r="M531" s="2">
        <v>2</v>
      </c>
      <c r="N531" s="2">
        <f t="shared" si="8"/>
        <v>5</v>
      </c>
    </row>
    <row r="532" spans="1:14">
      <c r="A532" s="83">
        <v>269</v>
      </c>
      <c r="B532" s="84" t="s">
        <v>353</v>
      </c>
      <c r="C532" s="84" t="s">
        <v>902</v>
      </c>
      <c r="D532" s="84" t="s">
        <v>1665</v>
      </c>
      <c r="E532" s="68">
        <v>80</v>
      </c>
      <c r="F532" s="84" t="s">
        <v>1594</v>
      </c>
      <c r="G532" s="85">
        <v>1</v>
      </c>
      <c r="H532" s="86" t="s">
        <v>1035</v>
      </c>
      <c r="I532" s="86" t="s">
        <v>1588</v>
      </c>
      <c r="J532" s="86" t="s">
        <v>1583</v>
      </c>
      <c r="K532" s="166">
        <v>0</v>
      </c>
      <c r="L532" s="167" t="s">
        <v>1158</v>
      </c>
      <c r="M532" s="2">
        <v>1</v>
      </c>
      <c r="N532" s="2">
        <f t="shared" si="8"/>
        <v>3</v>
      </c>
    </row>
    <row r="533" spans="1:14">
      <c r="A533" s="83">
        <v>269</v>
      </c>
      <c r="B533" s="84" t="s">
        <v>353</v>
      </c>
      <c r="C533" s="84" t="s">
        <v>902</v>
      </c>
      <c r="D533" s="84" t="s">
        <v>1665</v>
      </c>
      <c r="E533" s="68">
        <v>56</v>
      </c>
      <c r="F533" s="84" t="s">
        <v>1610</v>
      </c>
      <c r="G533" s="85">
        <v>2</v>
      </c>
      <c r="H533" s="86" t="s">
        <v>1035</v>
      </c>
      <c r="I533" s="86" t="s">
        <v>1588</v>
      </c>
      <c r="J533" s="86" t="s">
        <v>1583</v>
      </c>
      <c r="K533" s="166">
        <v>0</v>
      </c>
      <c r="L533" s="167" t="s">
        <v>1158</v>
      </c>
      <c r="M533" s="2">
        <v>1</v>
      </c>
      <c r="N533" s="2">
        <f t="shared" si="8"/>
        <v>3</v>
      </c>
    </row>
    <row r="534" spans="1:14">
      <c r="A534" s="83">
        <v>269</v>
      </c>
      <c r="B534" s="84" t="s">
        <v>353</v>
      </c>
      <c r="C534" s="84" t="s">
        <v>902</v>
      </c>
      <c r="D534" s="84" t="s">
        <v>1665</v>
      </c>
      <c r="E534" s="68">
        <v>55</v>
      </c>
      <c r="F534" s="84" t="s">
        <v>1585</v>
      </c>
      <c r="G534" s="85">
        <v>3</v>
      </c>
      <c r="H534" s="86" t="s">
        <v>1035</v>
      </c>
      <c r="I534" s="86" t="s">
        <v>1588</v>
      </c>
      <c r="J534" s="86" t="s">
        <v>1583</v>
      </c>
      <c r="K534" s="166">
        <v>0</v>
      </c>
      <c r="L534" s="167" t="s">
        <v>1158</v>
      </c>
      <c r="M534" s="2">
        <v>1</v>
      </c>
      <c r="N534" s="2">
        <f t="shared" si="8"/>
        <v>3</v>
      </c>
    </row>
    <row r="535" spans="1:14">
      <c r="A535" s="89">
        <v>271</v>
      </c>
      <c r="B535" s="90" t="s">
        <v>100</v>
      </c>
      <c r="C535" s="90" t="s">
        <v>365</v>
      </c>
      <c r="D535" s="90" t="s">
        <v>1665</v>
      </c>
      <c r="E535" s="68">
        <v>49</v>
      </c>
      <c r="F535" s="90" t="s">
        <v>1591</v>
      </c>
      <c r="G535" s="91">
        <v>1</v>
      </c>
      <c r="H535" s="92" t="s">
        <v>593</v>
      </c>
      <c r="I535" s="92" t="s">
        <v>1591</v>
      </c>
      <c r="J535" s="92"/>
      <c r="K535" s="168">
        <v>0</v>
      </c>
      <c r="L535" s="169" t="s">
        <v>1056</v>
      </c>
      <c r="M535" s="2">
        <v>2</v>
      </c>
      <c r="N535" s="2">
        <f t="shared" si="8"/>
        <v>5</v>
      </c>
    </row>
    <row r="536" spans="1:14">
      <c r="A536" s="16">
        <v>271</v>
      </c>
      <c r="B536" s="17" t="s">
        <v>100</v>
      </c>
      <c r="C536" s="17" t="s">
        <v>365</v>
      </c>
      <c r="D536" s="17" t="s">
        <v>1665</v>
      </c>
      <c r="E536" s="68">
        <v>26</v>
      </c>
      <c r="F536" s="17" t="s">
        <v>1573</v>
      </c>
      <c r="G536" s="65">
        <v>2</v>
      </c>
      <c r="H536" s="66" t="s">
        <v>593</v>
      </c>
      <c r="I536" s="66" t="s">
        <v>1591</v>
      </c>
      <c r="J536" s="66"/>
      <c r="K536" s="157">
        <v>0</v>
      </c>
      <c r="L536" s="170" t="s">
        <v>1056</v>
      </c>
      <c r="M536" s="2">
        <v>2</v>
      </c>
      <c r="N536" s="2">
        <f t="shared" si="8"/>
        <v>5</v>
      </c>
    </row>
    <row r="537" spans="1:14">
      <c r="A537" s="16">
        <v>271</v>
      </c>
      <c r="B537" s="17" t="s">
        <v>100</v>
      </c>
      <c r="C537" s="17" t="s">
        <v>365</v>
      </c>
      <c r="D537" s="17" t="s">
        <v>1665</v>
      </c>
      <c r="E537" s="68">
        <v>46</v>
      </c>
      <c r="F537" s="17" t="s">
        <v>1597</v>
      </c>
      <c r="G537" s="65">
        <v>3</v>
      </c>
      <c r="H537" s="66" t="s">
        <v>593</v>
      </c>
      <c r="I537" s="66" t="s">
        <v>1591</v>
      </c>
      <c r="J537" s="66"/>
      <c r="K537" s="157">
        <v>0</v>
      </c>
      <c r="L537" s="170" t="s">
        <v>1056</v>
      </c>
      <c r="M537" s="2">
        <v>2</v>
      </c>
      <c r="N537" s="2">
        <f t="shared" si="8"/>
        <v>5</v>
      </c>
    </row>
    <row r="538" spans="1:14">
      <c r="A538" s="16">
        <v>271</v>
      </c>
      <c r="B538" s="17" t="s">
        <v>100</v>
      </c>
      <c r="C538" s="17" t="s">
        <v>365</v>
      </c>
      <c r="D538" s="17" t="s">
        <v>1665</v>
      </c>
      <c r="E538" s="68">
        <v>55</v>
      </c>
      <c r="F538" s="17" t="s">
        <v>1585</v>
      </c>
      <c r="G538" s="65">
        <v>4</v>
      </c>
      <c r="H538" s="66" t="s">
        <v>593</v>
      </c>
      <c r="I538" s="66" t="s">
        <v>1591</v>
      </c>
      <c r="J538" s="66"/>
      <c r="K538" s="157">
        <v>0</v>
      </c>
      <c r="L538" s="170" t="s">
        <v>1056</v>
      </c>
      <c r="M538" s="2">
        <v>2</v>
      </c>
      <c r="N538" s="2">
        <f t="shared" si="8"/>
        <v>5</v>
      </c>
    </row>
    <row r="539" spans="1:14">
      <c r="A539" s="16">
        <v>271</v>
      </c>
      <c r="B539" s="17" t="s">
        <v>100</v>
      </c>
      <c r="C539" s="17" t="s">
        <v>365</v>
      </c>
      <c r="D539" s="17" t="s">
        <v>1665</v>
      </c>
      <c r="E539" s="68">
        <v>76</v>
      </c>
      <c r="F539" s="17" t="s">
        <v>1613</v>
      </c>
      <c r="G539" s="65">
        <v>5</v>
      </c>
      <c r="H539" s="66" t="s">
        <v>593</v>
      </c>
      <c r="I539" s="66" t="s">
        <v>1591</v>
      </c>
      <c r="J539" s="66"/>
      <c r="K539" s="157">
        <v>0</v>
      </c>
      <c r="L539" s="170" t="s">
        <v>1056</v>
      </c>
      <c r="M539" s="2">
        <v>2</v>
      </c>
      <c r="N539" s="2">
        <f t="shared" si="8"/>
        <v>5</v>
      </c>
    </row>
    <row r="540" spans="1:14">
      <c r="A540" s="83">
        <v>272</v>
      </c>
      <c r="B540" s="84" t="s">
        <v>100</v>
      </c>
      <c r="C540" s="84" t="s">
        <v>75</v>
      </c>
      <c r="D540" s="84" t="s">
        <v>1666</v>
      </c>
      <c r="E540" s="68">
        <v>54</v>
      </c>
      <c r="F540" s="84" t="s">
        <v>1603</v>
      </c>
      <c r="G540" s="85">
        <v>1</v>
      </c>
      <c r="H540" s="86" t="s">
        <v>587</v>
      </c>
      <c r="I540" s="86" t="s">
        <v>1680</v>
      </c>
      <c r="J540" s="86" t="s">
        <v>560</v>
      </c>
      <c r="K540" s="166">
        <v>0</v>
      </c>
      <c r="L540" s="167">
        <v>0</v>
      </c>
      <c r="M540" s="2">
        <v>1</v>
      </c>
      <c r="N540" s="2">
        <f t="shared" si="8"/>
        <v>5</v>
      </c>
    </row>
    <row r="541" spans="1:14">
      <c r="A541" s="83">
        <v>272</v>
      </c>
      <c r="B541" s="84" t="s">
        <v>100</v>
      </c>
      <c r="C541" s="84" t="s">
        <v>75</v>
      </c>
      <c r="D541" s="84" t="s">
        <v>1666</v>
      </c>
      <c r="E541" s="68">
        <v>50</v>
      </c>
      <c r="F541" s="84" t="s">
        <v>559</v>
      </c>
      <c r="G541" s="85">
        <v>2</v>
      </c>
      <c r="H541" s="86" t="s">
        <v>587</v>
      </c>
      <c r="I541" s="86" t="s">
        <v>1680</v>
      </c>
      <c r="J541" s="86" t="s">
        <v>560</v>
      </c>
      <c r="K541" s="166">
        <v>0</v>
      </c>
      <c r="L541" s="167">
        <v>0</v>
      </c>
      <c r="M541" s="2">
        <v>1</v>
      </c>
      <c r="N541" s="2">
        <f t="shared" si="8"/>
        <v>5</v>
      </c>
    </row>
    <row r="542" spans="1:14">
      <c r="A542" s="83">
        <v>272</v>
      </c>
      <c r="B542" s="84" t="s">
        <v>100</v>
      </c>
      <c r="C542" s="84" t="s">
        <v>75</v>
      </c>
      <c r="D542" s="84" t="s">
        <v>1666</v>
      </c>
      <c r="E542" s="68">
        <v>29</v>
      </c>
      <c r="F542" s="84" t="s">
        <v>571</v>
      </c>
      <c r="G542" s="85">
        <v>3</v>
      </c>
      <c r="H542" s="86" t="s">
        <v>587</v>
      </c>
      <c r="I542" s="86" t="s">
        <v>1680</v>
      </c>
      <c r="J542" s="86" t="s">
        <v>560</v>
      </c>
      <c r="K542" s="166">
        <v>0</v>
      </c>
      <c r="L542" s="167">
        <v>0</v>
      </c>
      <c r="M542" s="2">
        <v>1</v>
      </c>
      <c r="N542" s="2">
        <f t="shared" si="8"/>
        <v>5</v>
      </c>
    </row>
    <row r="543" spans="1:14">
      <c r="A543" s="83">
        <v>272</v>
      </c>
      <c r="B543" s="84" t="s">
        <v>100</v>
      </c>
      <c r="C543" s="84" t="s">
        <v>75</v>
      </c>
      <c r="D543" s="84" t="s">
        <v>1666</v>
      </c>
      <c r="E543" s="68">
        <v>61</v>
      </c>
      <c r="F543" s="84" t="s">
        <v>1608</v>
      </c>
      <c r="G543" s="85">
        <v>4</v>
      </c>
      <c r="H543" s="86" t="s">
        <v>587</v>
      </c>
      <c r="I543" s="86" t="s">
        <v>1680</v>
      </c>
      <c r="J543" s="86" t="s">
        <v>560</v>
      </c>
      <c r="K543" s="166">
        <v>0</v>
      </c>
      <c r="L543" s="167">
        <v>0</v>
      </c>
      <c r="M543" s="2">
        <v>1</v>
      </c>
      <c r="N543" s="2">
        <f t="shared" si="8"/>
        <v>5</v>
      </c>
    </row>
    <row r="544" spans="1:14">
      <c r="A544" s="83">
        <v>272</v>
      </c>
      <c r="B544" s="84" t="s">
        <v>100</v>
      </c>
      <c r="C544" s="84" t="s">
        <v>75</v>
      </c>
      <c r="D544" s="84" t="s">
        <v>1666</v>
      </c>
      <c r="E544" s="68">
        <v>36</v>
      </c>
      <c r="F544" s="84" t="s">
        <v>557</v>
      </c>
      <c r="G544" s="85">
        <v>5</v>
      </c>
      <c r="H544" s="86" t="s">
        <v>587</v>
      </c>
      <c r="I544" s="86" t="s">
        <v>1680</v>
      </c>
      <c r="J544" s="86" t="s">
        <v>560</v>
      </c>
      <c r="K544" s="166">
        <v>0</v>
      </c>
      <c r="L544" s="167">
        <v>0</v>
      </c>
      <c r="M544" s="2">
        <v>1</v>
      </c>
      <c r="N544" s="2">
        <f t="shared" si="8"/>
        <v>5</v>
      </c>
    </row>
    <row r="545" spans="1:14">
      <c r="A545" s="89">
        <v>275</v>
      </c>
      <c r="B545" s="90" t="s">
        <v>909</v>
      </c>
      <c r="C545" s="90" t="s">
        <v>908</v>
      </c>
      <c r="D545" s="90" t="s">
        <v>1563</v>
      </c>
      <c r="E545" s="68">
        <v>49</v>
      </c>
      <c r="F545" s="90" t="s">
        <v>1591</v>
      </c>
      <c r="G545" s="91">
        <v>1</v>
      </c>
      <c r="H545" s="92" t="s">
        <v>1029</v>
      </c>
      <c r="I545" s="92" t="s">
        <v>1075</v>
      </c>
      <c r="J545" s="92"/>
      <c r="K545" s="168">
        <v>0</v>
      </c>
      <c r="L545" s="169">
        <v>0</v>
      </c>
      <c r="M545" s="2">
        <v>2</v>
      </c>
      <c r="N545" s="2">
        <f t="shared" si="8"/>
        <v>5</v>
      </c>
    </row>
    <row r="546" spans="1:14">
      <c r="A546" s="16">
        <v>275</v>
      </c>
      <c r="B546" s="17" t="s">
        <v>909</v>
      </c>
      <c r="C546" s="17" t="s">
        <v>908</v>
      </c>
      <c r="D546" s="17" t="s">
        <v>1563</v>
      </c>
      <c r="E546" s="68">
        <v>4</v>
      </c>
      <c r="F546" s="17" t="s">
        <v>1575</v>
      </c>
      <c r="G546" s="65">
        <v>2</v>
      </c>
      <c r="H546" s="66" t="s">
        <v>1029</v>
      </c>
      <c r="I546" s="66" t="s">
        <v>1075</v>
      </c>
      <c r="J546" s="66"/>
      <c r="K546" s="157">
        <v>0</v>
      </c>
      <c r="L546" s="170">
        <v>0</v>
      </c>
      <c r="M546" s="2">
        <v>2</v>
      </c>
      <c r="N546" s="2">
        <f t="shared" si="8"/>
        <v>5</v>
      </c>
    </row>
    <row r="547" spans="1:14">
      <c r="A547" s="16">
        <v>275</v>
      </c>
      <c r="B547" s="17" t="s">
        <v>909</v>
      </c>
      <c r="C547" s="17" t="s">
        <v>908</v>
      </c>
      <c r="D547" s="17" t="s">
        <v>1563</v>
      </c>
      <c r="E547" s="68">
        <v>31</v>
      </c>
      <c r="F547" s="17" t="s">
        <v>1590</v>
      </c>
      <c r="G547" s="65">
        <v>3</v>
      </c>
      <c r="H547" s="66" t="s">
        <v>1029</v>
      </c>
      <c r="I547" s="66" t="s">
        <v>1075</v>
      </c>
      <c r="J547" s="66"/>
      <c r="K547" s="157">
        <v>0</v>
      </c>
      <c r="L547" s="170">
        <v>0</v>
      </c>
      <c r="M547" s="2">
        <v>2</v>
      </c>
      <c r="N547" s="2">
        <f t="shared" si="8"/>
        <v>5</v>
      </c>
    </row>
    <row r="548" spans="1:14">
      <c r="A548" s="16">
        <v>275</v>
      </c>
      <c r="B548" s="17" t="s">
        <v>909</v>
      </c>
      <c r="C548" s="17" t="s">
        <v>908</v>
      </c>
      <c r="D548" s="17" t="s">
        <v>1563</v>
      </c>
      <c r="E548" s="68">
        <v>18</v>
      </c>
      <c r="F548" s="17" t="s">
        <v>1588</v>
      </c>
      <c r="G548" s="65">
        <v>4</v>
      </c>
      <c r="H548" s="66" t="s">
        <v>1029</v>
      </c>
      <c r="I548" s="66" t="s">
        <v>1075</v>
      </c>
      <c r="J548" s="66"/>
      <c r="K548" s="157">
        <v>0</v>
      </c>
      <c r="L548" s="170">
        <v>0</v>
      </c>
      <c r="M548" s="2">
        <v>2</v>
      </c>
      <c r="N548" s="2">
        <f t="shared" si="8"/>
        <v>5</v>
      </c>
    </row>
    <row r="549" spans="1:14">
      <c r="A549" s="16">
        <v>275</v>
      </c>
      <c r="B549" s="17" t="s">
        <v>909</v>
      </c>
      <c r="C549" s="17" t="s">
        <v>908</v>
      </c>
      <c r="D549" s="17" t="s">
        <v>1563</v>
      </c>
      <c r="E549" s="68">
        <v>56</v>
      </c>
      <c r="F549" s="17" t="s">
        <v>1610</v>
      </c>
      <c r="G549" s="65">
        <v>5</v>
      </c>
      <c r="H549" s="66" t="s">
        <v>1029</v>
      </c>
      <c r="I549" s="66" t="s">
        <v>1075</v>
      </c>
      <c r="J549" s="66"/>
      <c r="K549" s="157">
        <v>0</v>
      </c>
      <c r="L549" s="170">
        <v>0</v>
      </c>
      <c r="M549" s="2">
        <v>2</v>
      </c>
      <c r="N549" s="2">
        <f t="shared" si="8"/>
        <v>5</v>
      </c>
    </row>
    <row r="550" spans="1:14">
      <c r="A550" s="83">
        <v>277</v>
      </c>
      <c r="B550" s="84" t="s">
        <v>35</v>
      </c>
      <c r="C550" s="84" t="s">
        <v>369</v>
      </c>
      <c r="D550" s="84" t="s">
        <v>1563</v>
      </c>
      <c r="E550" s="68">
        <v>55</v>
      </c>
      <c r="F550" s="84" t="s">
        <v>1585</v>
      </c>
      <c r="G550" s="85">
        <v>1</v>
      </c>
      <c r="H550" s="86" t="s">
        <v>587</v>
      </c>
      <c r="I550" s="86" t="s">
        <v>584</v>
      </c>
      <c r="J550" s="86" t="s">
        <v>1611</v>
      </c>
      <c r="K550" s="166" t="s">
        <v>1153</v>
      </c>
      <c r="L550" s="167">
        <v>0</v>
      </c>
      <c r="M550" s="2">
        <v>1</v>
      </c>
      <c r="N550" s="2">
        <f t="shared" si="8"/>
        <v>7</v>
      </c>
    </row>
    <row r="551" spans="1:14">
      <c r="A551" s="83">
        <v>277</v>
      </c>
      <c r="B551" s="84" t="s">
        <v>35</v>
      </c>
      <c r="C551" s="84" t="s">
        <v>369</v>
      </c>
      <c r="D551" s="84" t="s">
        <v>1563</v>
      </c>
      <c r="E551" s="68">
        <v>67</v>
      </c>
      <c r="F551" s="84" t="s">
        <v>1584</v>
      </c>
      <c r="G551" s="85">
        <v>2</v>
      </c>
      <c r="H551" s="86" t="s">
        <v>587</v>
      </c>
      <c r="I551" s="86" t="s">
        <v>584</v>
      </c>
      <c r="J551" s="86" t="s">
        <v>1611</v>
      </c>
      <c r="K551" s="166" t="s">
        <v>1153</v>
      </c>
      <c r="L551" s="167">
        <v>0</v>
      </c>
      <c r="M551" s="2">
        <v>1</v>
      </c>
      <c r="N551" s="2">
        <f t="shared" si="8"/>
        <v>7</v>
      </c>
    </row>
    <row r="552" spans="1:14">
      <c r="A552" s="83">
        <v>277</v>
      </c>
      <c r="B552" s="84" t="s">
        <v>35</v>
      </c>
      <c r="C552" s="84" t="s">
        <v>369</v>
      </c>
      <c r="D552" s="84" t="s">
        <v>1563</v>
      </c>
      <c r="E552" s="68">
        <v>49</v>
      </c>
      <c r="F552" s="84" t="s">
        <v>1591</v>
      </c>
      <c r="G552" s="85">
        <v>3</v>
      </c>
      <c r="H552" s="86" t="s">
        <v>587</v>
      </c>
      <c r="I552" s="86" t="s">
        <v>584</v>
      </c>
      <c r="J552" s="86" t="s">
        <v>1611</v>
      </c>
      <c r="K552" s="166" t="s">
        <v>1153</v>
      </c>
      <c r="L552" s="167">
        <v>0</v>
      </c>
      <c r="M552" s="2">
        <v>1</v>
      </c>
      <c r="N552" s="2">
        <f t="shared" si="8"/>
        <v>7</v>
      </c>
    </row>
    <row r="553" spans="1:14">
      <c r="A553" s="83">
        <v>277</v>
      </c>
      <c r="B553" s="84" t="s">
        <v>35</v>
      </c>
      <c r="C553" s="84" t="s">
        <v>369</v>
      </c>
      <c r="D553" s="84" t="s">
        <v>1563</v>
      </c>
      <c r="E553" s="68">
        <v>31</v>
      </c>
      <c r="F553" s="84" t="s">
        <v>1590</v>
      </c>
      <c r="G553" s="85">
        <v>4</v>
      </c>
      <c r="H553" s="86" t="s">
        <v>587</v>
      </c>
      <c r="I553" s="86" t="s">
        <v>584</v>
      </c>
      <c r="J553" s="86" t="s">
        <v>1611</v>
      </c>
      <c r="K553" s="166" t="s">
        <v>1153</v>
      </c>
      <c r="L553" s="167">
        <v>0</v>
      </c>
      <c r="M553" s="2">
        <v>1</v>
      </c>
      <c r="N553" s="2">
        <f t="shared" si="8"/>
        <v>7</v>
      </c>
    </row>
    <row r="554" spans="1:14">
      <c r="A554" s="99">
        <v>277</v>
      </c>
      <c r="B554" s="100" t="s">
        <v>35</v>
      </c>
      <c r="C554" s="100" t="s">
        <v>369</v>
      </c>
      <c r="D554" s="100" t="s">
        <v>1563</v>
      </c>
      <c r="E554" s="68">
        <v>34</v>
      </c>
      <c r="F554" s="100" t="s">
        <v>1581</v>
      </c>
      <c r="G554" s="101">
        <v>5</v>
      </c>
      <c r="H554" s="102" t="s">
        <v>587</v>
      </c>
      <c r="I554" s="102" t="s">
        <v>584</v>
      </c>
      <c r="J554" s="102" t="s">
        <v>1611</v>
      </c>
      <c r="K554" s="171" t="s">
        <v>1153</v>
      </c>
      <c r="L554" s="172">
        <v>0</v>
      </c>
      <c r="M554" s="2">
        <v>1</v>
      </c>
      <c r="N554" s="2">
        <f t="shared" si="8"/>
        <v>7</v>
      </c>
    </row>
    <row r="555" spans="1:14">
      <c r="A555" s="83">
        <v>277</v>
      </c>
      <c r="B555" s="84" t="s">
        <v>35</v>
      </c>
      <c r="C555" s="84" t="s">
        <v>369</v>
      </c>
      <c r="D555" s="84" t="s">
        <v>1563</v>
      </c>
      <c r="E555" s="68">
        <v>84</v>
      </c>
      <c r="F555" s="84" t="s">
        <v>1574</v>
      </c>
      <c r="G555" s="85">
        <v>6</v>
      </c>
      <c r="H555" s="86" t="s">
        <v>587</v>
      </c>
      <c r="I555" s="86" t="s">
        <v>584</v>
      </c>
      <c r="J555" s="86" t="s">
        <v>1611</v>
      </c>
      <c r="K555" s="166" t="s">
        <v>1153</v>
      </c>
      <c r="L555" s="167">
        <v>0</v>
      </c>
      <c r="M555" s="2">
        <v>1</v>
      </c>
      <c r="N555" s="2">
        <f t="shared" si="8"/>
        <v>7</v>
      </c>
    </row>
    <row r="556" spans="1:14">
      <c r="A556" s="83">
        <v>277</v>
      </c>
      <c r="B556" s="84" t="s">
        <v>35</v>
      </c>
      <c r="C556" s="84" t="s">
        <v>369</v>
      </c>
      <c r="D556" s="84" t="s">
        <v>1563</v>
      </c>
      <c r="E556" s="68">
        <v>60</v>
      </c>
      <c r="F556" s="84" t="s">
        <v>555</v>
      </c>
      <c r="G556" s="85">
        <v>7</v>
      </c>
      <c r="H556" s="86" t="s">
        <v>587</v>
      </c>
      <c r="I556" s="86" t="s">
        <v>584</v>
      </c>
      <c r="J556" s="86" t="s">
        <v>1611</v>
      </c>
      <c r="K556" s="166" t="s">
        <v>1153</v>
      </c>
      <c r="L556" s="167">
        <v>0</v>
      </c>
      <c r="M556" s="2">
        <v>1</v>
      </c>
      <c r="N556" s="2">
        <f t="shared" si="8"/>
        <v>7</v>
      </c>
    </row>
    <row r="557" spans="1:14">
      <c r="A557" s="16">
        <v>284</v>
      </c>
      <c r="B557" s="17" t="s">
        <v>922</v>
      </c>
      <c r="C557" s="17" t="s">
        <v>921</v>
      </c>
      <c r="D557" s="17" t="s">
        <v>1667</v>
      </c>
      <c r="E557" s="68">
        <v>27</v>
      </c>
      <c r="F557" s="17" t="s">
        <v>569</v>
      </c>
      <c r="G557" s="65">
        <v>1</v>
      </c>
      <c r="H557" s="66" t="s">
        <v>988</v>
      </c>
      <c r="I557" s="66" t="s">
        <v>953</v>
      </c>
      <c r="J557" s="66" t="s">
        <v>1583</v>
      </c>
      <c r="K557" s="157">
        <v>0</v>
      </c>
      <c r="L557" s="170">
        <v>0</v>
      </c>
      <c r="M557" s="2">
        <v>2</v>
      </c>
      <c r="N557" s="2">
        <f t="shared" si="8"/>
        <v>2</v>
      </c>
    </row>
    <row r="558" spans="1:14">
      <c r="A558" s="16">
        <v>284</v>
      </c>
      <c r="B558" s="17" t="s">
        <v>922</v>
      </c>
      <c r="C558" s="17" t="s">
        <v>921</v>
      </c>
      <c r="D558" s="17" t="s">
        <v>1667</v>
      </c>
      <c r="E558" s="68">
        <v>9</v>
      </c>
      <c r="F558" s="17" t="s">
        <v>537</v>
      </c>
      <c r="G558" s="65">
        <v>2</v>
      </c>
      <c r="H558" s="66" t="s">
        <v>988</v>
      </c>
      <c r="I558" s="66" t="s">
        <v>953</v>
      </c>
      <c r="J558" s="66" t="s">
        <v>1583</v>
      </c>
      <c r="K558" s="157">
        <v>0</v>
      </c>
      <c r="L558" s="170">
        <v>0</v>
      </c>
      <c r="M558" s="2">
        <v>2</v>
      </c>
      <c r="N558" s="2">
        <f t="shared" si="8"/>
        <v>2</v>
      </c>
    </row>
    <row r="559" spans="1:14">
      <c r="A559" s="83">
        <v>285</v>
      </c>
      <c r="B559" s="84" t="s">
        <v>16</v>
      </c>
      <c r="C559" s="84" t="s">
        <v>924</v>
      </c>
      <c r="D559" s="84" t="s">
        <v>1667</v>
      </c>
      <c r="E559" s="68">
        <v>97</v>
      </c>
      <c r="F559" s="84" t="s">
        <v>939</v>
      </c>
      <c r="G559" s="85">
        <v>1</v>
      </c>
      <c r="H559" s="86" t="s">
        <v>967</v>
      </c>
      <c r="I559" s="86"/>
      <c r="J559" s="86"/>
      <c r="K559" s="166" t="s">
        <v>1154</v>
      </c>
      <c r="L559" s="167" t="s">
        <v>1038</v>
      </c>
      <c r="M559" s="2">
        <v>1</v>
      </c>
      <c r="N559" s="2">
        <f t="shared" si="8"/>
        <v>5</v>
      </c>
    </row>
    <row r="560" spans="1:14">
      <c r="A560" s="83">
        <v>285</v>
      </c>
      <c r="B560" s="84" t="s">
        <v>16</v>
      </c>
      <c r="C560" s="84" t="s">
        <v>924</v>
      </c>
      <c r="D560" s="84" t="s">
        <v>1667</v>
      </c>
      <c r="E560" s="82">
        <v>96</v>
      </c>
      <c r="F560" s="84" t="s">
        <v>938</v>
      </c>
      <c r="G560" s="85">
        <v>2</v>
      </c>
      <c r="H560" s="86" t="s">
        <v>967</v>
      </c>
      <c r="I560" s="86"/>
      <c r="J560" s="86"/>
      <c r="K560" s="166" t="s">
        <v>1154</v>
      </c>
      <c r="L560" s="167" t="s">
        <v>1038</v>
      </c>
      <c r="M560" s="2">
        <v>1</v>
      </c>
      <c r="N560" s="2">
        <f t="shared" si="8"/>
        <v>5</v>
      </c>
    </row>
    <row r="561" spans="1:14">
      <c r="A561" s="83">
        <v>285</v>
      </c>
      <c r="B561" s="84" t="s">
        <v>16</v>
      </c>
      <c r="C561" s="84" t="s">
        <v>924</v>
      </c>
      <c r="D561" s="84" t="s">
        <v>1667</v>
      </c>
      <c r="E561" s="82">
        <v>55</v>
      </c>
      <c r="F561" s="84" t="s">
        <v>1585</v>
      </c>
      <c r="G561" s="85">
        <v>3</v>
      </c>
      <c r="H561" s="86" t="s">
        <v>967</v>
      </c>
      <c r="I561" s="86"/>
      <c r="J561" s="86"/>
      <c r="K561" s="166" t="s">
        <v>1154</v>
      </c>
      <c r="L561" s="167" t="s">
        <v>1038</v>
      </c>
      <c r="M561" s="2">
        <v>1</v>
      </c>
      <c r="N561" s="2">
        <f t="shared" si="8"/>
        <v>5</v>
      </c>
    </row>
    <row r="562" spans="1:14">
      <c r="A562" s="83">
        <v>285</v>
      </c>
      <c r="B562" s="84" t="s">
        <v>16</v>
      </c>
      <c r="C562" s="84" t="s">
        <v>924</v>
      </c>
      <c r="D562" s="84" t="s">
        <v>1667</v>
      </c>
      <c r="E562" s="68">
        <v>24</v>
      </c>
      <c r="F562" s="84" t="s">
        <v>951</v>
      </c>
      <c r="G562" s="85">
        <v>4</v>
      </c>
      <c r="H562" s="86" t="s">
        <v>967</v>
      </c>
      <c r="I562" s="86"/>
      <c r="J562" s="86"/>
      <c r="K562" s="166" t="s">
        <v>1154</v>
      </c>
      <c r="L562" s="167" t="s">
        <v>1038</v>
      </c>
      <c r="M562" s="2">
        <v>1</v>
      </c>
      <c r="N562" s="2">
        <f t="shared" si="8"/>
        <v>5</v>
      </c>
    </row>
    <row r="563" spans="1:14">
      <c r="A563" s="99">
        <v>285</v>
      </c>
      <c r="B563" s="100" t="s">
        <v>16</v>
      </c>
      <c r="C563" s="100" t="s">
        <v>924</v>
      </c>
      <c r="D563" s="100" t="s">
        <v>1667</v>
      </c>
      <c r="E563" s="68">
        <v>23</v>
      </c>
      <c r="F563" s="100" t="s">
        <v>1586</v>
      </c>
      <c r="G563" s="101">
        <v>5</v>
      </c>
      <c r="H563" s="102" t="s">
        <v>967</v>
      </c>
      <c r="I563" s="102"/>
      <c r="J563" s="102"/>
      <c r="K563" s="171" t="s">
        <v>1154</v>
      </c>
      <c r="L563" s="172" t="s">
        <v>1038</v>
      </c>
      <c r="M563" s="2">
        <v>1</v>
      </c>
      <c r="N563" s="2">
        <f t="shared" si="8"/>
        <v>5</v>
      </c>
    </row>
    <row r="564" spans="1:14">
      <c r="A564" s="16">
        <v>288</v>
      </c>
      <c r="B564" s="17" t="s">
        <v>16</v>
      </c>
      <c r="C564" s="17" t="s">
        <v>926</v>
      </c>
      <c r="D564" s="17" t="s">
        <v>1668</v>
      </c>
      <c r="E564" s="68">
        <v>48</v>
      </c>
      <c r="F564" s="17" t="s">
        <v>1601</v>
      </c>
      <c r="G564" s="65">
        <v>1</v>
      </c>
      <c r="H564" s="66" t="s">
        <v>590</v>
      </c>
      <c r="I564" s="66"/>
      <c r="J564" s="66" t="s">
        <v>1063</v>
      </c>
      <c r="K564" s="157">
        <v>0</v>
      </c>
      <c r="L564" s="170">
        <v>0</v>
      </c>
      <c r="M564" s="2">
        <v>2</v>
      </c>
      <c r="N564" s="2">
        <f t="shared" si="8"/>
        <v>4</v>
      </c>
    </row>
    <row r="565" spans="1:14">
      <c r="A565" s="16">
        <v>288</v>
      </c>
      <c r="B565" s="17" t="s">
        <v>16</v>
      </c>
      <c r="C565" s="17" t="s">
        <v>926</v>
      </c>
      <c r="D565" s="17" t="s">
        <v>1668</v>
      </c>
      <c r="E565" s="65">
        <v>47</v>
      </c>
      <c r="F565" s="17" t="s">
        <v>1602</v>
      </c>
      <c r="G565" s="65">
        <v>2</v>
      </c>
      <c r="H565" s="66" t="s">
        <v>590</v>
      </c>
      <c r="I565" s="66"/>
      <c r="J565" s="66" t="s">
        <v>1063</v>
      </c>
      <c r="K565" s="157">
        <v>0</v>
      </c>
      <c r="L565" s="170">
        <v>0</v>
      </c>
      <c r="M565" s="2">
        <v>2</v>
      </c>
      <c r="N565" s="2">
        <f t="shared" si="8"/>
        <v>4</v>
      </c>
    </row>
    <row r="566" spans="1:14">
      <c r="A566" s="60">
        <v>288</v>
      </c>
      <c r="B566" s="61" t="s">
        <v>16</v>
      </c>
      <c r="C566" s="61" t="s">
        <v>926</v>
      </c>
      <c r="D566" s="61" t="s">
        <v>1668</v>
      </c>
      <c r="E566" s="82">
        <v>46</v>
      </c>
      <c r="F566" s="61" t="s">
        <v>1597</v>
      </c>
      <c r="G566" s="67">
        <v>3</v>
      </c>
      <c r="H566" s="66" t="s">
        <v>590</v>
      </c>
      <c r="I566" s="66"/>
      <c r="J566" s="66" t="s">
        <v>1063</v>
      </c>
      <c r="K566" s="174">
        <v>0</v>
      </c>
      <c r="L566" s="175">
        <v>0</v>
      </c>
      <c r="M566" s="2">
        <v>2</v>
      </c>
      <c r="N566" s="2">
        <f t="shared" si="8"/>
        <v>4</v>
      </c>
    </row>
    <row r="567" spans="1:14">
      <c r="A567" s="60">
        <v>288</v>
      </c>
      <c r="B567" s="61" t="s">
        <v>16</v>
      </c>
      <c r="C567" s="61" t="s">
        <v>926</v>
      </c>
      <c r="D567" s="61" t="s">
        <v>1668</v>
      </c>
      <c r="E567" s="82">
        <v>61</v>
      </c>
      <c r="F567" s="61" t="s">
        <v>1608</v>
      </c>
      <c r="G567" s="67">
        <v>4</v>
      </c>
      <c r="H567" s="66" t="s">
        <v>590</v>
      </c>
      <c r="I567" s="66"/>
      <c r="J567" s="66" t="s">
        <v>1063</v>
      </c>
      <c r="K567" s="174">
        <v>0</v>
      </c>
      <c r="L567" s="175">
        <v>0</v>
      </c>
      <c r="M567" s="2">
        <v>2</v>
      </c>
      <c r="N567" s="2">
        <f t="shared" si="8"/>
        <v>4</v>
      </c>
    </row>
    <row r="568" spans="1:14">
      <c r="A568" s="83">
        <v>290</v>
      </c>
      <c r="B568" s="84" t="s">
        <v>932</v>
      </c>
      <c r="C568" s="84" t="s">
        <v>931</v>
      </c>
      <c r="D568" s="84" t="s">
        <v>1668</v>
      </c>
      <c r="E568" s="82">
        <v>47</v>
      </c>
      <c r="F568" s="84" t="s">
        <v>1602</v>
      </c>
      <c r="G568" s="85">
        <v>1</v>
      </c>
      <c r="H568" s="86" t="s">
        <v>1019</v>
      </c>
      <c r="I568" s="86"/>
      <c r="J568" s="86" t="s">
        <v>1597</v>
      </c>
      <c r="K568" s="166">
        <v>0</v>
      </c>
      <c r="L568" s="167">
        <v>0</v>
      </c>
      <c r="M568" s="2">
        <v>1</v>
      </c>
      <c r="N568" s="2">
        <f t="shared" si="8"/>
        <v>5</v>
      </c>
    </row>
    <row r="569" spans="1:14">
      <c r="A569" s="83">
        <v>290</v>
      </c>
      <c r="B569" s="84" t="s">
        <v>932</v>
      </c>
      <c r="C569" s="84" t="s">
        <v>931</v>
      </c>
      <c r="D569" s="84" t="s">
        <v>1668</v>
      </c>
      <c r="E569" s="82">
        <v>28</v>
      </c>
      <c r="F569" s="84" t="s">
        <v>570</v>
      </c>
      <c r="G569" s="85">
        <v>2</v>
      </c>
      <c r="H569" s="86" t="s">
        <v>1019</v>
      </c>
      <c r="I569" s="86"/>
      <c r="J569" s="86" t="s">
        <v>1597</v>
      </c>
      <c r="K569" s="166">
        <v>0</v>
      </c>
      <c r="L569" s="167">
        <v>0</v>
      </c>
      <c r="M569" s="2">
        <v>1</v>
      </c>
      <c r="N569" s="2">
        <f t="shared" si="8"/>
        <v>5</v>
      </c>
    </row>
    <row r="570" spans="1:14">
      <c r="A570" s="83">
        <v>290</v>
      </c>
      <c r="B570" s="84" t="s">
        <v>932</v>
      </c>
      <c r="C570" s="84" t="s">
        <v>931</v>
      </c>
      <c r="D570" s="84" t="s">
        <v>1668</v>
      </c>
      <c r="E570" s="82">
        <v>81</v>
      </c>
      <c r="F570" s="84" t="s">
        <v>546</v>
      </c>
      <c r="G570" s="85">
        <v>2</v>
      </c>
      <c r="H570" s="86" t="s">
        <v>1019</v>
      </c>
      <c r="I570" s="86"/>
      <c r="J570" s="86" t="s">
        <v>1597</v>
      </c>
      <c r="K570" s="166">
        <v>0</v>
      </c>
      <c r="L570" s="167">
        <v>0</v>
      </c>
      <c r="M570" s="2">
        <v>1</v>
      </c>
      <c r="N570" s="2">
        <f t="shared" si="8"/>
        <v>5</v>
      </c>
    </row>
    <row r="571" spans="1:14">
      <c r="A571" s="83">
        <v>290</v>
      </c>
      <c r="B571" s="87" t="s">
        <v>932</v>
      </c>
      <c r="C571" s="87" t="s">
        <v>931</v>
      </c>
      <c r="D571" s="87" t="s">
        <v>1668</v>
      </c>
      <c r="E571" s="82">
        <v>85</v>
      </c>
      <c r="F571" s="87" t="s">
        <v>1578</v>
      </c>
      <c r="G571" s="88">
        <v>4</v>
      </c>
      <c r="H571" s="97" t="s">
        <v>1019</v>
      </c>
      <c r="I571" s="97"/>
      <c r="J571" s="97" t="s">
        <v>1597</v>
      </c>
      <c r="K571" s="166">
        <v>0</v>
      </c>
      <c r="L571" s="167">
        <v>0</v>
      </c>
      <c r="M571" s="2">
        <v>1</v>
      </c>
      <c r="N571" s="2">
        <f t="shared" si="8"/>
        <v>5</v>
      </c>
    </row>
    <row r="572" spans="1:14">
      <c r="A572" s="83">
        <v>290</v>
      </c>
      <c r="B572" s="84" t="s">
        <v>932</v>
      </c>
      <c r="C572" s="84" t="s">
        <v>931</v>
      </c>
      <c r="D572" s="84" t="s">
        <v>1668</v>
      </c>
      <c r="E572" s="65">
        <v>27</v>
      </c>
      <c r="F572" s="84" t="s">
        <v>569</v>
      </c>
      <c r="G572" s="85">
        <v>5</v>
      </c>
      <c r="H572" s="86" t="s">
        <v>1019</v>
      </c>
      <c r="I572" s="86"/>
      <c r="J572" s="86" t="s">
        <v>1597</v>
      </c>
      <c r="K572" s="176">
        <v>0</v>
      </c>
      <c r="L572" s="167">
        <v>0</v>
      </c>
      <c r="M572" s="2">
        <v>1</v>
      </c>
      <c r="N572" s="2">
        <f t="shared" si="8"/>
        <v>5</v>
      </c>
    </row>
    <row r="573" spans="1:14">
      <c r="A573" s="16">
        <v>291</v>
      </c>
      <c r="B573" s="17" t="s">
        <v>243</v>
      </c>
      <c r="C573" s="17" t="s">
        <v>960</v>
      </c>
      <c r="D573" s="17" t="s">
        <v>1562</v>
      </c>
      <c r="E573" s="65">
        <v>49</v>
      </c>
      <c r="F573" s="17" t="s">
        <v>1591</v>
      </c>
      <c r="G573" s="65">
        <v>1</v>
      </c>
      <c r="H573" s="66" t="s">
        <v>1008</v>
      </c>
      <c r="I573" s="66"/>
      <c r="J573" s="66" t="s">
        <v>1580</v>
      </c>
      <c r="K573" s="157">
        <v>0</v>
      </c>
      <c r="L573" s="170">
        <v>0</v>
      </c>
      <c r="M573" s="2">
        <v>2</v>
      </c>
      <c r="N573" s="2">
        <f t="shared" si="8"/>
        <v>5</v>
      </c>
    </row>
    <row r="574" spans="1:14">
      <c r="A574" s="16">
        <v>291</v>
      </c>
      <c r="B574" s="17" t="s">
        <v>243</v>
      </c>
      <c r="C574" s="17" t="s">
        <v>960</v>
      </c>
      <c r="D574" s="17" t="s">
        <v>1562</v>
      </c>
      <c r="E574" s="65">
        <v>50</v>
      </c>
      <c r="F574" s="17" t="s">
        <v>559</v>
      </c>
      <c r="G574" s="65">
        <v>2</v>
      </c>
      <c r="H574" s="66" t="s">
        <v>1008</v>
      </c>
      <c r="I574" s="66"/>
      <c r="J574" s="66" t="s">
        <v>1580</v>
      </c>
      <c r="K574" s="157">
        <v>0</v>
      </c>
      <c r="L574" s="170">
        <v>0</v>
      </c>
      <c r="M574" s="2">
        <v>2</v>
      </c>
      <c r="N574" s="2">
        <f t="shared" si="8"/>
        <v>5</v>
      </c>
    </row>
    <row r="575" spans="1:14">
      <c r="A575" s="16">
        <v>291</v>
      </c>
      <c r="B575" s="17" t="s">
        <v>243</v>
      </c>
      <c r="C575" s="17" t="s">
        <v>960</v>
      </c>
      <c r="D575" s="17" t="s">
        <v>1562</v>
      </c>
      <c r="E575" s="65">
        <v>51</v>
      </c>
      <c r="F575" s="17" t="s">
        <v>560</v>
      </c>
      <c r="G575" s="65">
        <v>3</v>
      </c>
      <c r="H575" s="66" t="s">
        <v>1008</v>
      </c>
      <c r="I575" s="66"/>
      <c r="J575" s="66" t="s">
        <v>1580</v>
      </c>
      <c r="K575" s="157">
        <v>0</v>
      </c>
      <c r="L575" s="170">
        <v>0</v>
      </c>
      <c r="M575" s="2">
        <v>2</v>
      </c>
      <c r="N575" s="2">
        <f t="shared" si="8"/>
        <v>5</v>
      </c>
    </row>
    <row r="576" spans="1:14">
      <c r="A576" s="16">
        <v>291</v>
      </c>
      <c r="B576" s="17" t="s">
        <v>243</v>
      </c>
      <c r="C576" s="17" t="s">
        <v>960</v>
      </c>
      <c r="D576" s="17" t="s">
        <v>1562</v>
      </c>
      <c r="E576" s="65">
        <v>90</v>
      </c>
      <c r="F576" s="17" t="s">
        <v>937</v>
      </c>
      <c r="G576" s="65">
        <v>4</v>
      </c>
      <c r="H576" s="66" t="s">
        <v>1008</v>
      </c>
      <c r="I576" s="66"/>
      <c r="J576" s="66" t="s">
        <v>1580</v>
      </c>
      <c r="K576" s="157">
        <v>0</v>
      </c>
      <c r="L576" s="170">
        <v>0</v>
      </c>
      <c r="M576" s="2">
        <v>2</v>
      </c>
      <c r="N576" s="2">
        <f t="shared" si="8"/>
        <v>5</v>
      </c>
    </row>
    <row r="577" spans="1:14">
      <c r="A577" s="16">
        <v>291</v>
      </c>
      <c r="B577" s="17" t="s">
        <v>243</v>
      </c>
      <c r="C577" s="17" t="s">
        <v>960</v>
      </c>
      <c r="D577" s="17" t="s">
        <v>1562</v>
      </c>
      <c r="E577" s="65">
        <v>97</v>
      </c>
      <c r="F577" s="17" t="s">
        <v>939</v>
      </c>
      <c r="G577" s="65">
        <v>5</v>
      </c>
      <c r="H577" s="66" t="s">
        <v>1008</v>
      </c>
      <c r="I577" s="66"/>
      <c r="J577" s="66" t="s">
        <v>1580</v>
      </c>
      <c r="K577" s="157">
        <v>0</v>
      </c>
      <c r="L577" s="170">
        <v>0</v>
      </c>
      <c r="M577" s="2">
        <v>2</v>
      </c>
      <c r="N577" s="2">
        <f t="shared" si="8"/>
        <v>5</v>
      </c>
    </row>
    <row r="578" spans="1:14">
      <c r="A578" s="83">
        <v>292</v>
      </c>
      <c r="B578" s="84" t="s">
        <v>37</v>
      </c>
      <c r="C578" s="84" t="s">
        <v>961</v>
      </c>
      <c r="D578" s="84" t="s">
        <v>962</v>
      </c>
      <c r="E578" s="85">
        <v>79</v>
      </c>
      <c r="F578" s="84" t="s">
        <v>575</v>
      </c>
      <c r="G578" s="85">
        <v>1</v>
      </c>
      <c r="H578" s="66" t="s">
        <v>1414</v>
      </c>
      <c r="I578" s="65" t="s">
        <v>1605</v>
      </c>
      <c r="J578" s="65" t="s">
        <v>1605</v>
      </c>
      <c r="K578" s="177"/>
      <c r="L578" s="177"/>
      <c r="M578" s="2">
        <v>1</v>
      </c>
      <c r="N578" s="2">
        <f t="shared" si="8"/>
        <v>5</v>
      </c>
    </row>
    <row r="579" spans="1:14">
      <c r="A579" s="83">
        <v>292</v>
      </c>
      <c r="B579" s="84" t="s">
        <v>37</v>
      </c>
      <c r="C579" s="84" t="s">
        <v>961</v>
      </c>
      <c r="D579" s="84" t="s">
        <v>962</v>
      </c>
      <c r="E579" s="85">
        <v>55</v>
      </c>
      <c r="F579" s="84" t="s">
        <v>1585</v>
      </c>
      <c r="G579" s="85">
        <v>2</v>
      </c>
      <c r="H579" s="66" t="s">
        <v>1414</v>
      </c>
      <c r="I579" s="65" t="s">
        <v>1605</v>
      </c>
      <c r="J579" s="65" t="s">
        <v>1605</v>
      </c>
      <c r="K579" s="177"/>
      <c r="L579" s="177"/>
      <c r="M579" s="2">
        <v>1</v>
      </c>
      <c r="N579" s="2">
        <f t="shared" si="8"/>
        <v>5</v>
      </c>
    </row>
    <row r="580" spans="1:14">
      <c r="A580" s="83">
        <v>292</v>
      </c>
      <c r="B580" s="84" t="s">
        <v>37</v>
      </c>
      <c r="C580" s="84" t="s">
        <v>961</v>
      </c>
      <c r="D580" s="84" t="s">
        <v>962</v>
      </c>
      <c r="E580" s="85">
        <v>23</v>
      </c>
      <c r="F580" s="84" t="s">
        <v>1586</v>
      </c>
      <c r="G580" s="85">
        <v>3</v>
      </c>
      <c r="H580" s="66" t="s">
        <v>1414</v>
      </c>
      <c r="I580" s="65" t="s">
        <v>1605</v>
      </c>
      <c r="J580" s="65" t="s">
        <v>1605</v>
      </c>
      <c r="K580" s="177"/>
      <c r="L580" s="177"/>
      <c r="M580" s="2">
        <v>1</v>
      </c>
      <c r="N580" s="2">
        <f t="shared" si="8"/>
        <v>5</v>
      </c>
    </row>
    <row r="581" spans="1:14">
      <c r="A581" s="83">
        <v>292</v>
      </c>
      <c r="B581" s="84" t="s">
        <v>37</v>
      </c>
      <c r="C581" s="84" t="s">
        <v>961</v>
      </c>
      <c r="D581" s="84" t="s">
        <v>962</v>
      </c>
      <c r="E581" s="85">
        <v>94</v>
      </c>
      <c r="F581" s="84" t="s">
        <v>941</v>
      </c>
      <c r="G581" s="85">
        <v>4</v>
      </c>
      <c r="H581" s="66" t="s">
        <v>1414</v>
      </c>
      <c r="I581" s="65" t="s">
        <v>1605</v>
      </c>
      <c r="J581" s="65" t="s">
        <v>1605</v>
      </c>
      <c r="K581" s="177"/>
      <c r="L581" s="177"/>
      <c r="M581" s="2">
        <v>1</v>
      </c>
      <c r="N581" s="2">
        <f t="shared" si="8"/>
        <v>5</v>
      </c>
    </row>
    <row r="582" spans="1:14">
      <c r="A582" s="83">
        <v>292</v>
      </c>
      <c r="B582" s="84" t="s">
        <v>37</v>
      </c>
      <c r="C582" s="84" t="s">
        <v>961</v>
      </c>
      <c r="D582" s="84" t="s">
        <v>962</v>
      </c>
      <c r="E582" s="85">
        <v>96</v>
      </c>
      <c r="F582" s="84" t="s">
        <v>938</v>
      </c>
      <c r="G582" s="85">
        <v>5</v>
      </c>
      <c r="H582" s="66" t="s">
        <v>1414</v>
      </c>
      <c r="I582" s="65" t="s">
        <v>1605</v>
      </c>
      <c r="J582" s="65" t="s">
        <v>1605</v>
      </c>
      <c r="K582" s="177"/>
      <c r="L582" s="177"/>
      <c r="M582" s="2">
        <v>1</v>
      </c>
      <c r="N582" s="2">
        <f t="shared" si="8"/>
        <v>5</v>
      </c>
    </row>
  </sheetData>
  <autoFilter ref="A2:N582"/>
  <sortState ref="A3:N577">
    <sortCondition ref="A3:A577"/>
    <sortCondition ref="G3:G577"/>
  </sortState>
  <mergeCells count="1">
    <mergeCell ref="B1:J1"/>
  </mergeCells>
  <printOptions horizontalCentered="1"/>
  <pageMargins left="0.17" right="0.17" top="0.21" bottom="0.35" header="0.15748031496062992" footer="0.15748031496062992"/>
  <pageSetup paperSize="9" scale="71" orientation="landscape" r:id="rId1"/>
  <headerFooter>
    <oddFooter>&amp;C&amp;N /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>
    <tabColor rgb="FFFFFF00"/>
  </sheetPr>
  <dimension ref="A1:J545"/>
  <sheetViews>
    <sheetView showZeros="0" view="pageBreakPreview" zoomScale="85" zoomScaleNormal="100" zoomScaleSheetLayoutView="85" workbookViewId="0">
      <pane ySplit="2" topLeftCell="A123" activePane="bottomLeft" state="frozenSplit"/>
      <selection pane="bottomLeft" activeCell="A3" sqref="A3"/>
    </sheetView>
  </sheetViews>
  <sheetFormatPr defaultRowHeight="15.75"/>
  <cols>
    <col min="1" max="1" width="6" style="107" customWidth="1"/>
    <col min="2" max="2" width="53.85546875" style="111" customWidth="1"/>
    <col min="3" max="3" width="5.140625" style="110" customWidth="1"/>
    <col min="4" max="4" width="19.28515625" style="111" customWidth="1"/>
    <col min="5" max="5" width="25.7109375" style="111" customWidth="1"/>
    <col min="6" max="6" width="6" style="110" customWidth="1"/>
    <col min="7" max="7" width="31.85546875" style="112" customWidth="1"/>
    <col min="8" max="8" width="28.28515625" style="136" customWidth="1"/>
    <col min="9" max="9" width="26.140625" style="136" customWidth="1"/>
    <col min="10" max="16384" width="9.140625" style="109"/>
  </cols>
  <sheetData>
    <row r="1" spans="1:10" s="34" customFormat="1" ht="24" customHeight="1">
      <c r="A1" s="107"/>
      <c r="B1" s="181" t="s">
        <v>611</v>
      </c>
      <c r="C1" s="181"/>
      <c r="D1" s="181"/>
      <c r="E1" s="181"/>
      <c r="F1" s="181"/>
      <c r="G1" s="181"/>
      <c r="H1" s="181"/>
      <c r="I1" s="181"/>
    </row>
    <row r="2" spans="1:10" s="45" customFormat="1" ht="25.5" customHeight="1">
      <c r="A2" s="57" t="s">
        <v>608</v>
      </c>
      <c r="B2" s="58" t="s">
        <v>378</v>
      </c>
      <c r="C2" s="58" t="s">
        <v>241</v>
      </c>
      <c r="D2" s="58" t="s">
        <v>375</v>
      </c>
      <c r="E2" s="58" t="s">
        <v>1171</v>
      </c>
      <c r="F2" s="57" t="s">
        <v>606</v>
      </c>
      <c r="G2" s="58" t="s">
        <v>614</v>
      </c>
      <c r="H2" s="58" t="s">
        <v>1422</v>
      </c>
      <c r="I2" s="58" t="s">
        <v>1423</v>
      </c>
    </row>
    <row r="3" spans="1:10" s="34" customFormat="1">
      <c r="A3" s="138">
        <v>66</v>
      </c>
      <c r="B3" s="139" t="s">
        <v>1607</v>
      </c>
      <c r="C3" s="140">
        <v>5</v>
      </c>
      <c r="D3" s="139" t="s">
        <v>1555</v>
      </c>
      <c r="E3" s="141" t="s">
        <v>1209</v>
      </c>
      <c r="F3" s="143">
        <v>1</v>
      </c>
      <c r="G3" s="139" t="s">
        <v>587</v>
      </c>
      <c r="H3" s="142" t="s">
        <v>1420</v>
      </c>
      <c r="I3" s="142" t="s">
        <v>1259</v>
      </c>
      <c r="J3" s="45">
        <v>1</v>
      </c>
    </row>
    <row r="4" spans="1:10" s="34" customFormat="1">
      <c r="A4" s="44">
        <v>46</v>
      </c>
      <c r="B4" s="152" t="s">
        <v>529</v>
      </c>
      <c r="C4" s="186">
        <v>1</v>
      </c>
      <c r="D4" s="152" t="s">
        <v>1624</v>
      </c>
      <c r="E4" s="155" t="s">
        <v>1198</v>
      </c>
      <c r="F4" s="187">
        <v>2</v>
      </c>
      <c r="G4" s="152" t="s">
        <v>596</v>
      </c>
      <c r="H4" s="137" t="s">
        <v>1321</v>
      </c>
      <c r="I4" s="137" t="s">
        <v>1289</v>
      </c>
      <c r="J4" s="45">
        <v>2</v>
      </c>
    </row>
    <row r="5" spans="1:10" s="34" customFormat="1">
      <c r="A5" s="44">
        <v>252</v>
      </c>
      <c r="B5" s="152" t="s">
        <v>529</v>
      </c>
      <c r="C5" s="186">
        <v>1</v>
      </c>
      <c r="D5" s="152" t="s">
        <v>1661</v>
      </c>
      <c r="E5" s="155" t="s">
        <v>1326</v>
      </c>
      <c r="F5" s="187">
        <v>2</v>
      </c>
      <c r="G5" s="152" t="s">
        <v>587</v>
      </c>
      <c r="H5" s="137" t="s">
        <v>1321</v>
      </c>
      <c r="I5" s="137" t="s">
        <v>1289</v>
      </c>
      <c r="J5" s="45">
        <v>2</v>
      </c>
    </row>
    <row r="6" spans="1:10" s="34" customFormat="1">
      <c r="A6" s="44">
        <v>69</v>
      </c>
      <c r="B6" s="113" t="s">
        <v>529</v>
      </c>
      <c r="C6" s="114">
        <v>2</v>
      </c>
      <c r="D6" s="113" t="s">
        <v>1555</v>
      </c>
      <c r="E6" s="108" t="s">
        <v>1212</v>
      </c>
      <c r="F6" s="49">
        <v>2</v>
      </c>
      <c r="G6" s="113" t="s">
        <v>587</v>
      </c>
      <c r="H6" s="137" t="s">
        <v>1321</v>
      </c>
      <c r="I6" s="137" t="s">
        <v>1289</v>
      </c>
      <c r="J6" s="45">
        <v>2</v>
      </c>
    </row>
    <row r="7" spans="1:10" s="34" customFormat="1">
      <c r="A7" s="44">
        <v>84</v>
      </c>
      <c r="B7" s="113" t="s">
        <v>529</v>
      </c>
      <c r="C7" s="114">
        <v>2</v>
      </c>
      <c r="D7" s="113" t="s">
        <v>1634</v>
      </c>
      <c r="E7" s="108" t="s">
        <v>1222</v>
      </c>
      <c r="F7" s="49">
        <v>2</v>
      </c>
      <c r="G7" s="113" t="s">
        <v>976</v>
      </c>
      <c r="H7" s="137" t="s">
        <v>1321</v>
      </c>
      <c r="I7" s="137" t="s">
        <v>1289</v>
      </c>
      <c r="J7" s="45">
        <v>2</v>
      </c>
    </row>
    <row r="8" spans="1:10" s="34" customFormat="1">
      <c r="A8" s="44">
        <v>189</v>
      </c>
      <c r="B8" s="113" t="s">
        <v>529</v>
      </c>
      <c r="C8" s="114">
        <v>3</v>
      </c>
      <c r="D8" s="113" t="s">
        <v>1645</v>
      </c>
      <c r="E8" s="108" t="s">
        <v>1286</v>
      </c>
      <c r="F8" s="49">
        <v>2</v>
      </c>
      <c r="G8" s="113" t="s">
        <v>598</v>
      </c>
      <c r="H8" s="137" t="s">
        <v>1321</v>
      </c>
      <c r="I8" s="137" t="s">
        <v>1289</v>
      </c>
      <c r="J8" s="45">
        <v>2</v>
      </c>
    </row>
    <row r="9" spans="1:10" s="34" customFormat="1">
      <c r="A9" s="44">
        <v>212</v>
      </c>
      <c r="B9" s="113" t="s">
        <v>529</v>
      </c>
      <c r="C9" s="114">
        <v>3</v>
      </c>
      <c r="D9" s="113" t="s">
        <v>1649</v>
      </c>
      <c r="E9" s="108" t="s">
        <v>1301</v>
      </c>
      <c r="F9" s="49">
        <v>2</v>
      </c>
      <c r="G9" s="113" t="s">
        <v>598</v>
      </c>
      <c r="H9" s="137" t="s">
        <v>1321</v>
      </c>
      <c r="I9" s="137" t="s">
        <v>1289</v>
      </c>
      <c r="J9" s="45">
        <v>2</v>
      </c>
    </row>
    <row r="10" spans="1:10" s="34" customFormat="1">
      <c r="A10" s="44">
        <v>198</v>
      </c>
      <c r="B10" s="113" t="s">
        <v>529</v>
      </c>
      <c r="C10" s="114">
        <v>5</v>
      </c>
      <c r="D10" s="113" t="s">
        <v>1648</v>
      </c>
      <c r="E10" s="108" t="s">
        <v>1292</v>
      </c>
      <c r="F10" s="49">
        <v>2</v>
      </c>
      <c r="G10" s="113" t="s">
        <v>1012</v>
      </c>
      <c r="H10" s="137" t="s">
        <v>1321</v>
      </c>
      <c r="I10" s="137" t="s">
        <v>1289</v>
      </c>
      <c r="J10" s="45">
        <v>2</v>
      </c>
    </row>
    <row r="11" spans="1:10" s="34" customFormat="1">
      <c r="A11" s="138">
        <v>252</v>
      </c>
      <c r="B11" s="139" t="s">
        <v>1616</v>
      </c>
      <c r="C11" s="140">
        <v>2</v>
      </c>
      <c r="D11" s="139" t="s">
        <v>1661</v>
      </c>
      <c r="E11" s="141" t="s">
        <v>1326</v>
      </c>
      <c r="F11" s="143">
        <v>3</v>
      </c>
      <c r="G11" s="139" t="s">
        <v>587</v>
      </c>
      <c r="H11" s="142" t="s">
        <v>1326</v>
      </c>
      <c r="I11" s="142" t="s">
        <v>1326</v>
      </c>
      <c r="J11" s="45">
        <v>1</v>
      </c>
    </row>
    <row r="12" spans="1:10" s="34" customFormat="1">
      <c r="A12" s="44">
        <v>35</v>
      </c>
      <c r="B12" s="152" t="s">
        <v>1575</v>
      </c>
      <c r="C12" s="188">
        <v>1</v>
      </c>
      <c r="D12" s="189" t="s">
        <v>1567</v>
      </c>
      <c r="E12" s="190" t="s">
        <v>1188</v>
      </c>
      <c r="F12" s="191">
        <v>4</v>
      </c>
      <c r="G12" s="189" t="s">
        <v>587</v>
      </c>
      <c r="H12" s="137" t="s">
        <v>1247</v>
      </c>
      <c r="I12" s="137" t="s">
        <v>1247</v>
      </c>
      <c r="J12" s="45">
        <v>2</v>
      </c>
    </row>
    <row r="13" spans="1:10" s="34" customFormat="1">
      <c r="A13" s="44">
        <v>118</v>
      </c>
      <c r="B13" s="152" t="s">
        <v>1575</v>
      </c>
      <c r="C13" s="186">
        <v>1</v>
      </c>
      <c r="D13" s="152" t="s">
        <v>1640</v>
      </c>
      <c r="E13" s="155" t="s">
        <v>1247</v>
      </c>
      <c r="F13" s="187">
        <v>4</v>
      </c>
      <c r="G13" s="152" t="s">
        <v>1025</v>
      </c>
      <c r="H13" s="137" t="s">
        <v>1247</v>
      </c>
      <c r="I13" s="137" t="s">
        <v>1247</v>
      </c>
      <c r="J13" s="45">
        <v>2</v>
      </c>
    </row>
    <row r="14" spans="1:10" s="34" customFormat="1">
      <c r="A14" s="44">
        <v>196</v>
      </c>
      <c r="B14" s="152" t="s">
        <v>1575</v>
      </c>
      <c r="C14" s="186">
        <v>1</v>
      </c>
      <c r="D14" s="152" t="s">
        <v>1648</v>
      </c>
      <c r="E14" s="155" t="s">
        <v>1291</v>
      </c>
      <c r="F14" s="187">
        <v>4</v>
      </c>
      <c r="G14" s="152" t="s">
        <v>999</v>
      </c>
      <c r="H14" s="137" t="s">
        <v>1247</v>
      </c>
      <c r="I14" s="137" t="s">
        <v>1247</v>
      </c>
      <c r="J14" s="45">
        <v>2</v>
      </c>
    </row>
    <row r="15" spans="1:10" s="34" customFormat="1">
      <c r="A15" s="44">
        <v>5</v>
      </c>
      <c r="B15" s="113" t="s">
        <v>1575</v>
      </c>
      <c r="C15" s="114">
        <v>2</v>
      </c>
      <c r="D15" s="113" t="s">
        <v>1619</v>
      </c>
      <c r="E15" s="108" t="s">
        <v>1174</v>
      </c>
      <c r="F15" s="49">
        <v>4</v>
      </c>
      <c r="G15" s="113" t="s">
        <v>993</v>
      </c>
      <c r="H15" s="137" t="s">
        <v>1247</v>
      </c>
      <c r="I15" s="137" t="s">
        <v>1247</v>
      </c>
      <c r="J15" s="45">
        <v>2</v>
      </c>
    </row>
    <row r="16" spans="1:10" s="34" customFormat="1">
      <c r="A16" s="44">
        <v>55</v>
      </c>
      <c r="B16" s="113" t="s">
        <v>1575</v>
      </c>
      <c r="C16" s="114">
        <v>2</v>
      </c>
      <c r="D16" s="113" t="s">
        <v>1628</v>
      </c>
      <c r="E16" s="108" t="s">
        <v>1202</v>
      </c>
      <c r="F16" s="49">
        <v>4</v>
      </c>
      <c r="G16" s="113" t="s">
        <v>1017</v>
      </c>
      <c r="H16" s="137" t="s">
        <v>1247</v>
      </c>
      <c r="I16" s="137" t="s">
        <v>1247</v>
      </c>
      <c r="J16" s="45">
        <v>2</v>
      </c>
    </row>
    <row r="17" spans="1:10" s="34" customFormat="1">
      <c r="A17" s="44">
        <v>71</v>
      </c>
      <c r="B17" s="113" t="s">
        <v>1575</v>
      </c>
      <c r="C17" s="114">
        <v>2</v>
      </c>
      <c r="D17" s="113" t="s">
        <v>1631</v>
      </c>
      <c r="E17" s="108" t="s">
        <v>1214</v>
      </c>
      <c r="F17" s="49">
        <v>4</v>
      </c>
      <c r="G17" s="113" t="s">
        <v>1034</v>
      </c>
      <c r="H17" s="137" t="s">
        <v>1247</v>
      </c>
      <c r="I17" s="137" t="s">
        <v>1247</v>
      </c>
      <c r="J17" s="45">
        <v>2</v>
      </c>
    </row>
    <row r="18" spans="1:10" s="34" customFormat="1">
      <c r="A18" s="115">
        <v>275</v>
      </c>
      <c r="B18" s="116" t="s">
        <v>1575</v>
      </c>
      <c r="C18" s="117">
        <v>2</v>
      </c>
      <c r="D18" s="116" t="s">
        <v>1563</v>
      </c>
      <c r="E18" s="108" t="s">
        <v>1340</v>
      </c>
      <c r="F18" s="49">
        <v>4</v>
      </c>
      <c r="G18" s="116" t="s">
        <v>1029</v>
      </c>
      <c r="H18" s="137" t="s">
        <v>1247</v>
      </c>
      <c r="I18" s="137" t="s">
        <v>1247</v>
      </c>
      <c r="J18" s="45">
        <v>2</v>
      </c>
    </row>
    <row r="19" spans="1:10" s="34" customFormat="1">
      <c r="A19" s="44">
        <v>66</v>
      </c>
      <c r="B19" s="113" t="s">
        <v>1575</v>
      </c>
      <c r="C19" s="114">
        <v>3</v>
      </c>
      <c r="D19" s="113" t="s">
        <v>1555</v>
      </c>
      <c r="E19" s="108" t="s">
        <v>1209</v>
      </c>
      <c r="F19" s="49">
        <v>4</v>
      </c>
      <c r="G19" s="113" t="s">
        <v>587</v>
      </c>
      <c r="H19" s="137" t="s">
        <v>1247</v>
      </c>
      <c r="I19" s="137" t="s">
        <v>1247</v>
      </c>
      <c r="J19" s="45">
        <v>2</v>
      </c>
    </row>
    <row r="20" spans="1:10" s="34" customFormat="1">
      <c r="A20" s="44">
        <v>206</v>
      </c>
      <c r="B20" s="113" t="s">
        <v>1575</v>
      </c>
      <c r="C20" s="114">
        <v>4</v>
      </c>
      <c r="D20" s="113" t="s">
        <v>1649</v>
      </c>
      <c r="E20" s="108" t="s">
        <v>1295</v>
      </c>
      <c r="F20" s="49">
        <v>4</v>
      </c>
      <c r="G20" s="113" t="s">
        <v>596</v>
      </c>
      <c r="H20" s="137" t="s">
        <v>1247</v>
      </c>
      <c r="I20" s="137" t="s">
        <v>1247</v>
      </c>
      <c r="J20" s="45">
        <v>2</v>
      </c>
    </row>
    <row r="21" spans="1:10" s="34" customFormat="1">
      <c r="A21" s="44">
        <v>49</v>
      </c>
      <c r="B21" s="113" t="s">
        <v>1575</v>
      </c>
      <c r="C21" s="114">
        <v>5</v>
      </c>
      <c r="D21" s="113" t="s">
        <v>1625</v>
      </c>
      <c r="E21" s="108" t="s">
        <v>1200</v>
      </c>
      <c r="F21" s="49">
        <v>4</v>
      </c>
      <c r="G21" s="113" t="s">
        <v>605</v>
      </c>
      <c r="H21" s="137" t="s">
        <v>1247</v>
      </c>
      <c r="I21" s="137" t="s">
        <v>1247</v>
      </c>
      <c r="J21" s="45">
        <v>2</v>
      </c>
    </row>
    <row r="22" spans="1:10" s="34" customFormat="1">
      <c r="A22" s="138">
        <v>146</v>
      </c>
      <c r="B22" s="139" t="s">
        <v>1579</v>
      </c>
      <c r="C22" s="140">
        <v>3</v>
      </c>
      <c r="D22" s="139" t="s">
        <v>1553</v>
      </c>
      <c r="E22" s="141" t="s">
        <v>1262</v>
      </c>
      <c r="F22" s="143">
        <v>5</v>
      </c>
      <c r="G22" s="139" t="s">
        <v>1016</v>
      </c>
      <c r="H22" s="142" t="s">
        <v>1196</v>
      </c>
      <c r="I22" s="142" t="s">
        <v>1196</v>
      </c>
      <c r="J22" s="45">
        <v>1</v>
      </c>
    </row>
    <row r="23" spans="1:10" s="34" customFormat="1">
      <c r="A23" s="138">
        <v>252</v>
      </c>
      <c r="B23" s="139" t="s">
        <v>1579</v>
      </c>
      <c r="C23" s="140">
        <v>3</v>
      </c>
      <c r="D23" s="139" t="s">
        <v>1661</v>
      </c>
      <c r="E23" s="141" t="s">
        <v>1326</v>
      </c>
      <c r="F23" s="143">
        <v>5</v>
      </c>
      <c r="G23" s="139" t="s">
        <v>587</v>
      </c>
      <c r="H23" s="142" t="s">
        <v>1196</v>
      </c>
      <c r="I23" s="142" t="s">
        <v>1196</v>
      </c>
      <c r="J23" s="45">
        <v>1</v>
      </c>
    </row>
    <row r="24" spans="1:10" s="34" customFormat="1">
      <c r="A24" s="138">
        <v>12</v>
      </c>
      <c r="B24" s="139" t="s">
        <v>1579</v>
      </c>
      <c r="C24" s="140">
        <v>5</v>
      </c>
      <c r="D24" s="139" t="s">
        <v>1620</v>
      </c>
      <c r="E24" s="141" t="s">
        <v>1176</v>
      </c>
      <c r="F24" s="143">
        <v>5</v>
      </c>
      <c r="G24" s="139" t="s">
        <v>587</v>
      </c>
      <c r="H24" s="142" t="s">
        <v>1196</v>
      </c>
      <c r="I24" s="142" t="s">
        <v>1196</v>
      </c>
      <c r="J24" s="45">
        <v>1</v>
      </c>
    </row>
    <row r="25" spans="1:10" s="34" customFormat="1">
      <c r="A25" s="44">
        <v>144</v>
      </c>
      <c r="B25" s="113" t="s">
        <v>1614</v>
      </c>
      <c r="C25" s="114">
        <v>3</v>
      </c>
      <c r="D25" s="113" t="s">
        <v>1553</v>
      </c>
      <c r="E25" s="108" t="s">
        <v>1260</v>
      </c>
      <c r="F25" s="49">
        <v>6</v>
      </c>
      <c r="G25" s="113" t="s">
        <v>998</v>
      </c>
      <c r="H25" s="137" t="s">
        <v>1260</v>
      </c>
      <c r="I25" s="137" t="s">
        <v>1267</v>
      </c>
      <c r="J25" s="45">
        <v>2</v>
      </c>
    </row>
    <row r="26" spans="1:10" s="34" customFormat="1">
      <c r="A26" s="138">
        <v>118</v>
      </c>
      <c r="B26" s="139" t="s">
        <v>564</v>
      </c>
      <c r="C26" s="140">
        <v>2</v>
      </c>
      <c r="D26" s="139" t="s">
        <v>1640</v>
      </c>
      <c r="E26" s="141" t="s">
        <v>1247</v>
      </c>
      <c r="F26" s="143">
        <v>7</v>
      </c>
      <c r="G26" s="139" t="s">
        <v>1025</v>
      </c>
      <c r="H26" s="142" t="s">
        <v>1260</v>
      </c>
      <c r="I26" s="142" t="s">
        <v>1267</v>
      </c>
      <c r="J26" s="45">
        <v>1</v>
      </c>
    </row>
    <row r="27" spans="1:10" s="34" customFormat="1">
      <c r="A27" s="44">
        <v>209</v>
      </c>
      <c r="B27" s="152" t="s">
        <v>565</v>
      </c>
      <c r="C27" s="186">
        <v>1</v>
      </c>
      <c r="D27" s="152" t="s">
        <v>1649</v>
      </c>
      <c r="E27" s="155" t="s">
        <v>1298</v>
      </c>
      <c r="F27" s="187">
        <v>8</v>
      </c>
      <c r="G27" s="152" t="s">
        <v>591</v>
      </c>
      <c r="H27" s="137" t="s">
        <v>1267</v>
      </c>
      <c r="I27" s="137" t="s">
        <v>1267</v>
      </c>
      <c r="J27" s="45">
        <v>2</v>
      </c>
    </row>
    <row r="28" spans="1:10" s="34" customFormat="1">
      <c r="A28" s="44">
        <v>173</v>
      </c>
      <c r="B28" s="113" t="s">
        <v>565</v>
      </c>
      <c r="C28" s="114">
        <v>2</v>
      </c>
      <c r="D28" s="113" t="s">
        <v>1641</v>
      </c>
      <c r="E28" s="108" t="s">
        <v>1277</v>
      </c>
      <c r="F28" s="49">
        <v>8</v>
      </c>
      <c r="G28" s="113" t="s">
        <v>589</v>
      </c>
      <c r="H28" s="137" t="s">
        <v>1267</v>
      </c>
      <c r="I28" s="137" t="s">
        <v>1267</v>
      </c>
      <c r="J28" s="45">
        <v>2</v>
      </c>
    </row>
    <row r="29" spans="1:10" s="34" customFormat="1">
      <c r="A29" s="115">
        <v>266</v>
      </c>
      <c r="B29" s="116" t="s">
        <v>565</v>
      </c>
      <c r="C29" s="117">
        <v>4</v>
      </c>
      <c r="D29" s="116" t="s">
        <v>1664</v>
      </c>
      <c r="E29" s="108" t="s">
        <v>1335</v>
      </c>
      <c r="F29" s="49">
        <v>8</v>
      </c>
      <c r="G29" s="116" t="s">
        <v>588</v>
      </c>
      <c r="H29" s="137" t="s">
        <v>1267</v>
      </c>
      <c r="I29" s="137" t="s">
        <v>1267</v>
      </c>
      <c r="J29" s="45">
        <v>2</v>
      </c>
    </row>
    <row r="30" spans="1:10" s="34" customFormat="1">
      <c r="A30" s="138">
        <v>123</v>
      </c>
      <c r="B30" s="153" t="s">
        <v>537</v>
      </c>
      <c r="C30" s="188">
        <v>1</v>
      </c>
      <c r="D30" s="189" t="s">
        <v>1553</v>
      </c>
      <c r="E30" s="190" t="s">
        <v>1249</v>
      </c>
      <c r="F30" s="191">
        <v>9</v>
      </c>
      <c r="G30" s="189" t="s">
        <v>1018</v>
      </c>
      <c r="H30" s="142" t="s">
        <v>1271</v>
      </c>
      <c r="I30" s="142" t="s">
        <v>1257</v>
      </c>
      <c r="J30" s="45">
        <v>1</v>
      </c>
    </row>
    <row r="31" spans="1:10" s="34" customFormat="1">
      <c r="A31" s="138">
        <v>135</v>
      </c>
      <c r="B31" s="153" t="s">
        <v>537</v>
      </c>
      <c r="C31" s="192">
        <v>1</v>
      </c>
      <c r="D31" s="153" t="s">
        <v>1553</v>
      </c>
      <c r="E31" s="193" t="s">
        <v>1256</v>
      </c>
      <c r="F31" s="194">
        <v>9</v>
      </c>
      <c r="G31" s="153" t="s">
        <v>597</v>
      </c>
      <c r="H31" s="195" t="s">
        <v>1271</v>
      </c>
      <c r="I31" s="195" t="s">
        <v>1257</v>
      </c>
      <c r="J31" s="45">
        <v>1</v>
      </c>
    </row>
    <row r="32" spans="1:10" s="34" customFormat="1">
      <c r="A32" s="138">
        <v>178</v>
      </c>
      <c r="B32" s="153" t="s">
        <v>537</v>
      </c>
      <c r="C32" s="192">
        <v>1</v>
      </c>
      <c r="D32" s="153" t="s">
        <v>1642</v>
      </c>
      <c r="E32" s="193" t="s">
        <v>1280</v>
      </c>
      <c r="F32" s="194">
        <v>9</v>
      </c>
      <c r="G32" s="153" t="s">
        <v>596</v>
      </c>
      <c r="H32" s="195" t="s">
        <v>1271</v>
      </c>
      <c r="I32" s="195" t="s">
        <v>1257</v>
      </c>
      <c r="J32" s="45">
        <v>1</v>
      </c>
    </row>
    <row r="33" spans="1:10" s="34" customFormat="1">
      <c r="A33" s="138">
        <v>248</v>
      </c>
      <c r="B33" s="153" t="s">
        <v>537</v>
      </c>
      <c r="C33" s="192">
        <v>1</v>
      </c>
      <c r="D33" s="153" t="s">
        <v>1660</v>
      </c>
      <c r="E33" s="193" t="s">
        <v>1325</v>
      </c>
      <c r="F33" s="194">
        <v>9</v>
      </c>
      <c r="G33" s="153" t="s">
        <v>975</v>
      </c>
      <c r="H33" s="195" t="s">
        <v>1271</v>
      </c>
      <c r="I33" s="195" t="s">
        <v>1257</v>
      </c>
      <c r="J33" s="45">
        <v>1</v>
      </c>
    </row>
    <row r="34" spans="1:10" s="34" customFormat="1">
      <c r="A34" s="138">
        <v>58</v>
      </c>
      <c r="B34" s="139" t="s">
        <v>537</v>
      </c>
      <c r="C34" s="140">
        <v>2</v>
      </c>
      <c r="D34" s="139" t="s">
        <v>1630</v>
      </c>
      <c r="E34" s="141" t="s">
        <v>1204</v>
      </c>
      <c r="F34" s="143">
        <v>9</v>
      </c>
      <c r="G34" s="139" t="s">
        <v>597</v>
      </c>
      <c r="H34" s="142" t="s">
        <v>1271</v>
      </c>
      <c r="I34" s="142" t="s">
        <v>1257</v>
      </c>
      <c r="J34" s="45">
        <v>1</v>
      </c>
    </row>
    <row r="35" spans="1:10" s="34" customFormat="1">
      <c r="A35" s="138">
        <v>172</v>
      </c>
      <c r="B35" s="139" t="s">
        <v>537</v>
      </c>
      <c r="C35" s="140">
        <v>2</v>
      </c>
      <c r="D35" s="139" t="s">
        <v>1641</v>
      </c>
      <c r="E35" s="141" t="s">
        <v>1276</v>
      </c>
      <c r="F35" s="143">
        <v>9</v>
      </c>
      <c r="G35" s="139" t="s">
        <v>969</v>
      </c>
      <c r="H35" s="142" t="s">
        <v>1271</v>
      </c>
      <c r="I35" s="142" t="s">
        <v>1257</v>
      </c>
      <c r="J35" s="45">
        <v>1</v>
      </c>
    </row>
    <row r="36" spans="1:10" s="34" customFormat="1">
      <c r="A36" s="138">
        <v>209</v>
      </c>
      <c r="B36" s="139" t="s">
        <v>537</v>
      </c>
      <c r="C36" s="140">
        <v>2</v>
      </c>
      <c r="D36" s="139" t="s">
        <v>1649</v>
      </c>
      <c r="E36" s="141" t="s">
        <v>1298</v>
      </c>
      <c r="F36" s="143">
        <v>9</v>
      </c>
      <c r="G36" s="139" t="s">
        <v>591</v>
      </c>
      <c r="H36" s="142" t="s">
        <v>1271</v>
      </c>
      <c r="I36" s="142" t="s">
        <v>1257</v>
      </c>
      <c r="J36" s="45">
        <v>1</v>
      </c>
    </row>
    <row r="37" spans="1:10" s="34" customFormat="1">
      <c r="A37" s="138">
        <v>241</v>
      </c>
      <c r="B37" s="139" t="s">
        <v>537</v>
      </c>
      <c r="C37" s="140">
        <v>2</v>
      </c>
      <c r="D37" s="139" t="s">
        <v>1658</v>
      </c>
      <c r="E37" s="141" t="s">
        <v>1321</v>
      </c>
      <c r="F37" s="143">
        <v>9</v>
      </c>
      <c r="G37" s="139" t="s">
        <v>594</v>
      </c>
      <c r="H37" s="142" t="s">
        <v>1271</v>
      </c>
      <c r="I37" s="142" t="s">
        <v>1257</v>
      </c>
      <c r="J37" s="45">
        <v>1</v>
      </c>
    </row>
    <row r="38" spans="1:10" s="34" customFormat="1">
      <c r="A38" s="138">
        <v>284</v>
      </c>
      <c r="B38" s="139" t="s">
        <v>537</v>
      </c>
      <c r="C38" s="140">
        <v>2</v>
      </c>
      <c r="D38" s="139" t="s">
        <v>1667</v>
      </c>
      <c r="E38" s="141" t="s">
        <v>1345</v>
      </c>
      <c r="F38" s="143">
        <v>9</v>
      </c>
      <c r="G38" s="139" t="s">
        <v>988</v>
      </c>
      <c r="H38" s="142" t="s">
        <v>1271</v>
      </c>
      <c r="I38" s="142" t="s">
        <v>1257</v>
      </c>
      <c r="J38" s="45">
        <v>1</v>
      </c>
    </row>
    <row r="39" spans="1:10" s="34" customFormat="1">
      <c r="A39" s="138">
        <v>1</v>
      </c>
      <c r="B39" s="139" t="s">
        <v>537</v>
      </c>
      <c r="C39" s="140">
        <v>3</v>
      </c>
      <c r="D39" s="139" t="s">
        <v>1619</v>
      </c>
      <c r="E39" s="141" t="s">
        <v>1172</v>
      </c>
      <c r="F39" s="143">
        <v>9</v>
      </c>
      <c r="G39" s="139" t="s">
        <v>971</v>
      </c>
      <c r="H39" s="142" t="s">
        <v>1271</v>
      </c>
      <c r="I39" s="142" t="s">
        <v>1257</v>
      </c>
      <c r="J39" s="45">
        <v>1</v>
      </c>
    </row>
    <row r="40" spans="1:10" s="34" customFormat="1">
      <c r="A40" s="138">
        <v>5</v>
      </c>
      <c r="B40" s="139" t="s">
        <v>537</v>
      </c>
      <c r="C40" s="140">
        <v>3</v>
      </c>
      <c r="D40" s="139" t="s">
        <v>1619</v>
      </c>
      <c r="E40" s="141" t="s">
        <v>1174</v>
      </c>
      <c r="F40" s="143">
        <v>9</v>
      </c>
      <c r="G40" s="139" t="s">
        <v>993</v>
      </c>
      <c r="H40" s="142" t="s">
        <v>1271</v>
      </c>
      <c r="I40" s="142" t="s">
        <v>1257</v>
      </c>
      <c r="J40" s="45">
        <v>1</v>
      </c>
    </row>
    <row r="41" spans="1:10" s="34" customFormat="1">
      <c r="A41" s="138">
        <v>118</v>
      </c>
      <c r="B41" s="139" t="s">
        <v>537</v>
      </c>
      <c r="C41" s="140">
        <v>3</v>
      </c>
      <c r="D41" s="139" t="s">
        <v>1640</v>
      </c>
      <c r="E41" s="141" t="s">
        <v>1247</v>
      </c>
      <c r="F41" s="143">
        <v>9</v>
      </c>
      <c r="G41" s="139" t="s">
        <v>1025</v>
      </c>
      <c r="H41" s="142" t="s">
        <v>1271</v>
      </c>
      <c r="I41" s="142" t="s">
        <v>1257</v>
      </c>
      <c r="J41" s="45">
        <v>1</v>
      </c>
    </row>
    <row r="42" spans="1:10" s="34" customFormat="1">
      <c r="A42" s="138">
        <v>183</v>
      </c>
      <c r="B42" s="139" t="s">
        <v>537</v>
      </c>
      <c r="C42" s="140">
        <v>3</v>
      </c>
      <c r="D42" s="139" t="s">
        <v>1644</v>
      </c>
      <c r="E42" s="141" t="s">
        <v>1284</v>
      </c>
      <c r="F42" s="143">
        <v>9</v>
      </c>
      <c r="G42" s="139" t="s">
        <v>587</v>
      </c>
      <c r="H42" s="142" t="s">
        <v>1271</v>
      </c>
      <c r="I42" s="142" t="s">
        <v>1257</v>
      </c>
      <c r="J42" s="45">
        <v>1</v>
      </c>
    </row>
    <row r="43" spans="1:10" s="34" customFormat="1">
      <c r="A43" s="138">
        <v>240</v>
      </c>
      <c r="B43" s="139" t="s">
        <v>537</v>
      </c>
      <c r="C43" s="140">
        <v>3</v>
      </c>
      <c r="D43" s="139" t="s">
        <v>1657</v>
      </c>
      <c r="E43" s="141" t="s">
        <v>1320</v>
      </c>
      <c r="F43" s="143">
        <v>9</v>
      </c>
      <c r="G43" s="139" t="s">
        <v>598</v>
      </c>
      <c r="H43" s="142" t="s">
        <v>1271</v>
      </c>
      <c r="I43" s="142" t="s">
        <v>1257</v>
      </c>
      <c r="J43" s="45">
        <v>1</v>
      </c>
    </row>
    <row r="44" spans="1:10" s="34" customFormat="1">
      <c r="A44" s="138">
        <v>69</v>
      </c>
      <c r="B44" s="139" t="s">
        <v>537</v>
      </c>
      <c r="C44" s="140">
        <v>4</v>
      </c>
      <c r="D44" s="139" t="s">
        <v>1555</v>
      </c>
      <c r="E44" s="141" t="s">
        <v>1212</v>
      </c>
      <c r="F44" s="143">
        <v>9</v>
      </c>
      <c r="G44" s="139" t="s">
        <v>587</v>
      </c>
      <c r="H44" s="142" t="s">
        <v>1271</v>
      </c>
      <c r="I44" s="142" t="s">
        <v>1257</v>
      </c>
      <c r="J44" s="45">
        <v>1</v>
      </c>
    </row>
    <row r="45" spans="1:10" s="34" customFormat="1">
      <c r="A45" s="138">
        <v>215</v>
      </c>
      <c r="B45" s="139" t="s">
        <v>537</v>
      </c>
      <c r="C45" s="140">
        <v>5</v>
      </c>
      <c r="D45" s="139" t="s">
        <v>1650</v>
      </c>
      <c r="E45" s="141" t="s">
        <v>1304</v>
      </c>
      <c r="F45" s="143">
        <v>9</v>
      </c>
      <c r="G45" s="139" t="s">
        <v>596</v>
      </c>
      <c r="H45" s="142" t="s">
        <v>1271</v>
      </c>
      <c r="I45" s="142" t="s">
        <v>1257</v>
      </c>
      <c r="J45" s="45">
        <v>1</v>
      </c>
    </row>
    <row r="46" spans="1:10" s="34" customFormat="1">
      <c r="A46" s="138">
        <v>261</v>
      </c>
      <c r="B46" s="139" t="s">
        <v>537</v>
      </c>
      <c r="C46" s="140">
        <v>5</v>
      </c>
      <c r="D46" s="139" t="s">
        <v>1664</v>
      </c>
      <c r="E46" s="141" t="s">
        <v>1333</v>
      </c>
      <c r="F46" s="143">
        <v>9</v>
      </c>
      <c r="G46" s="139" t="s">
        <v>589</v>
      </c>
      <c r="H46" s="142" t="s">
        <v>1271</v>
      </c>
      <c r="I46" s="142" t="s">
        <v>1257</v>
      </c>
      <c r="J46" s="45">
        <v>1</v>
      </c>
    </row>
    <row r="47" spans="1:10" s="34" customFormat="1">
      <c r="A47" s="44">
        <v>70</v>
      </c>
      <c r="B47" s="152" t="s">
        <v>1596</v>
      </c>
      <c r="C47" s="186">
        <v>1</v>
      </c>
      <c r="D47" s="152" t="s">
        <v>1555</v>
      </c>
      <c r="E47" s="155" t="s">
        <v>1213</v>
      </c>
      <c r="F47" s="187">
        <v>10</v>
      </c>
      <c r="G47" s="152" t="s">
        <v>587</v>
      </c>
      <c r="H47" s="137" t="s">
        <v>1432</v>
      </c>
      <c r="I47" s="137" t="s">
        <v>1175</v>
      </c>
      <c r="J47" s="45">
        <v>2</v>
      </c>
    </row>
    <row r="48" spans="1:10" s="34" customFormat="1">
      <c r="A48" s="44">
        <v>102</v>
      </c>
      <c r="B48" s="152" t="s">
        <v>1596</v>
      </c>
      <c r="C48" s="186">
        <v>1</v>
      </c>
      <c r="D48" s="152" t="s">
        <v>18</v>
      </c>
      <c r="E48" s="155" t="s">
        <v>1428</v>
      </c>
      <c r="F48" s="187">
        <v>10</v>
      </c>
      <c r="G48" s="152" t="s">
        <v>1427</v>
      </c>
      <c r="H48" s="137" t="s">
        <v>1432</v>
      </c>
      <c r="I48" s="137" t="s">
        <v>1175</v>
      </c>
      <c r="J48" s="45">
        <v>2</v>
      </c>
    </row>
    <row r="49" spans="1:10" s="34" customFormat="1">
      <c r="A49" s="44">
        <v>38</v>
      </c>
      <c r="B49" s="113" t="s">
        <v>1596</v>
      </c>
      <c r="C49" s="114">
        <v>2</v>
      </c>
      <c r="D49" s="113" t="s">
        <v>1623</v>
      </c>
      <c r="E49" s="108" t="s">
        <v>1190</v>
      </c>
      <c r="F49" s="49">
        <v>10</v>
      </c>
      <c r="G49" s="113" t="s">
        <v>587</v>
      </c>
      <c r="H49" s="137" t="s">
        <v>1432</v>
      </c>
      <c r="I49" s="137" t="s">
        <v>1175</v>
      </c>
      <c r="J49" s="45">
        <v>2</v>
      </c>
    </row>
    <row r="50" spans="1:10" s="34" customFormat="1">
      <c r="A50" s="44">
        <v>68</v>
      </c>
      <c r="B50" s="113" t="s">
        <v>1596</v>
      </c>
      <c r="C50" s="114">
        <v>3</v>
      </c>
      <c r="D50" s="113" t="s">
        <v>1555</v>
      </c>
      <c r="E50" s="108" t="s">
        <v>1211</v>
      </c>
      <c r="F50" s="49">
        <v>10</v>
      </c>
      <c r="G50" s="113" t="s">
        <v>1007</v>
      </c>
      <c r="H50" s="137" t="s">
        <v>1432</v>
      </c>
      <c r="I50" s="137" t="s">
        <v>1175</v>
      </c>
      <c r="J50" s="45">
        <v>2</v>
      </c>
    </row>
    <row r="51" spans="1:10" s="34" customFormat="1">
      <c r="A51" s="44">
        <v>132</v>
      </c>
      <c r="B51" s="113" t="s">
        <v>1596</v>
      </c>
      <c r="C51" s="114">
        <v>3</v>
      </c>
      <c r="D51" s="113" t="s">
        <v>1553</v>
      </c>
      <c r="E51" s="108" t="s">
        <v>1254</v>
      </c>
      <c r="F51" s="49">
        <v>10</v>
      </c>
      <c r="G51" s="113" t="s">
        <v>1002</v>
      </c>
      <c r="H51" s="137" t="s">
        <v>1432</v>
      </c>
      <c r="I51" s="137" t="s">
        <v>1175</v>
      </c>
      <c r="J51" s="45">
        <v>2</v>
      </c>
    </row>
    <row r="52" spans="1:10" s="34" customFormat="1">
      <c r="A52" s="44">
        <v>241</v>
      </c>
      <c r="B52" s="113" t="s">
        <v>1596</v>
      </c>
      <c r="C52" s="114">
        <v>3</v>
      </c>
      <c r="D52" s="113" t="s">
        <v>1658</v>
      </c>
      <c r="E52" s="108" t="s">
        <v>1321</v>
      </c>
      <c r="F52" s="49">
        <v>10</v>
      </c>
      <c r="G52" s="113" t="s">
        <v>594</v>
      </c>
      <c r="H52" s="137" t="s">
        <v>1432</v>
      </c>
      <c r="I52" s="137" t="s">
        <v>1175</v>
      </c>
      <c r="J52" s="45">
        <v>2</v>
      </c>
    </row>
    <row r="53" spans="1:10" s="34" customFormat="1">
      <c r="A53" s="44">
        <v>46</v>
      </c>
      <c r="B53" s="113" t="s">
        <v>1596</v>
      </c>
      <c r="C53" s="114">
        <v>4</v>
      </c>
      <c r="D53" s="113" t="s">
        <v>1624</v>
      </c>
      <c r="E53" s="108" t="s">
        <v>1198</v>
      </c>
      <c r="F53" s="49">
        <v>10</v>
      </c>
      <c r="G53" s="113" t="s">
        <v>596</v>
      </c>
      <c r="H53" s="137" t="s">
        <v>1432</v>
      </c>
      <c r="I53" s="137" t="s">
        <v>1175</v>
      </c>
      <c r="J53" s="45">
        <v>2</v>
      </c>
    </row>
    <row r="54" spans="1:10" s="34" customFormat="1">
      <c r="A54" s="44">
        <v>58</v>
      </c>
      <c r="B54" s="113" t="s">
        <v>1596</v>
      </c>
      <c r="C54" s="114">
        <v>4</v>
      </c>
      <c r="D54" s="113" t="s">
        <v>1630</v>
      </c>
      <c r="E54" s="108" t="s">
        <v>1204</v>
      </c>
      <c r="F54" s="49">
        <v>10</v>
      </c>
      <c r="G54" s="113" t="s">
        <v>597</v>
      </c>
      <c r="H54" s="137" t="s">
        <v>1432</v>
      </c>
      <c r="I54" s="137" t="s">
        <v>1175</v>
      </c>
      <c r="J54" s="45">
        <v>2</v>
      </c>
    </row>
    <row r="55" spans="1:10" s="34" customFormat="1">
      <c r="A55" s="44">
        <v>89</v>
      </c>
      <c r="B55" s="113" t="s">
        <v>1596</v>
      </c>
      <c r="C55" s="114">
        <v>4</v>
      </c>
      <c r="D55" s="113" t="s">
        <v>1636</v>
      </c>
      <c r="E55" s="108" t="s">
        <v>1227</v>
      </c>
      <c r="F55" s="49">
        <v>10</v>
      </c>
      <c r="G55" s="113" t="s">
        <v>602</v>
      </c>
      <c r="H55" s="137" t="s">
        <v>1432</v>
      </c>
      <c r="I55" s="137" t="s">
        <v>1175</v>
      </c>
      <c r="J55" s="45">
        <v>2</v>
      </c>
    </row>
    <row r="56" spans="1:10" s="34" customFormat="1">
      <c r="A56" s="44">
        <v>173</v>
      </c>
      <c r="B56" s="113" t="s">
        <v>1596</v>
      </c>
      <c r="C56" s="114">
        <v>4</v>
      </c>
      <c r="D56" s="113" t="s">
        <v>1641</v>
      </c>
      <c r="E56" s="108" t="s">
        <v>1277</v>
      </c>
      <c r="F56" s="49">
        <v>10</v>
      </c>
      <c r="G56" s="113" t="s">
        <v>589</v>
      </c>
      <c r="H56" s="137" t="s">
        <v>1432</v>
      </c>
      <c r="I56" s="137" t="s">
        <v>1175</v>
      </c>
      <c r="J56" s="45">
        <v>2</v>
      </c>
    </row>
    <row r="57" spans="1:10" s="34" customFormat="1">
      <c r="A57" s="44">
        <v>42</v>
      </c>
      <c r="B57" s="113" t="s">
        <v>1596</v>
      </c>
      <c r="C57" s="114">
        <v>5</v>
      </c>
      <c r="D57" s="113" t="s">
        <v>1564</v>
      </c>
      <c r="E57" s="108" t="s">
        <v>1194</v>
      </c>
      <c r="F57" s="49">
        <v>10</v>
      </c>
      <c r="G57" s="113" t="s">
        <v>600</v>
      </c>
      <c r="H57" s="137" t="s">
        <v>1432</v>
      </c>
      <c r="I57" s="137" t="s">
        <v>1175</v>
      </c>
      <c r="J57" s="45">
        <v>2</v>
      </c>
    </row>
    <row r="58" spans="1:10" s="34" customFormat="1">
      <c r="A58" s="44">
        <v>63</v>
      </c>
      <c r="B58" s="113" t="s">
        <v>1596</v>
      </c>
      <c r="C58" s="114">
        <v>5</v>
      </c>
      <c r="D58" s="113" t="s">
        <v>1555</v>
      </c>
      <c r="E58" s="108" t="s">
        <v>1207</v>
      </c>
      <c r="F58" s="49">
        <v>10</v>
      </c>
      <c r="G58" s="113" t="s">
        <v>598</v>
      </c>
      <c r="H58" s="137" t="s">
        <v>1432</v>
      </c>
      <c r="I58" s="137" t="s">
        <v>1175</v>
      </c>
      <c r="J58" s="45">
        <v>2</v>
      </c>
    </row>
    <row r="59" spans="1:10" s="34" customFormat="1">
      <c r="A59" s="44">
        <v>208</v>
      </c>
      <c r="B59" s="113" t="s">
        <v>1596</v>
      </c>
      <c r="C59" s="114">
        <v>5</v>
      </c>
      <c r="D59" s="113" t="s">
        <v>1649</v>
      </c>
      <c r="E59" s="108" t="s">
        <v>1297</v>
      </c>
      <c r="F59" s="49">
        <v>10</v>
      </c>
      <c r="G59" s="113" t="s">
        <v>975</v>
      </c>
      <c r="H59" s="137" t="s">
        <v>1432</v>
      </c>
      <c r="I59" s="137" t="s">
        <v>1175</v>
      </c>
      <c r="J59" s="45">
        <v>2</v>
      </c>
    </row>
    <row r="60" spans="1:10" s="34" customFormat="1">
      <c r="A60" s="138">
        <v>155</v>
      </c>
      <c r="B60" s="153" t="s">
        <v>1595</v>
      </c>
      <c r="C60" s="192">
        <v>1</v>
      </c>
      <c r="D60" s="153" t="s">
        <v>1553</v>
      </c>
      <c r="E60" s="193" t="s">
        <v>1264</v>
      </c>
      <c r="F60" s="194">
        <v>11</v>
      </c>
      <c r="G60" s="153" t="s">
        <v>967</v>
      </c>
      <c r="H60" s="195" t="s">
        <v>1301</v>
      </c>
      <c r="I60" s="195" t="s">
        <v>1229</v>
      </c>
      <c r="J60" s="45">
        <v>1</v>
      </c>
    </row>
    <row r="61" spans="1:10" s="34" customFormat="1">
      <c r="A61" s="138">
        <v>164</v>
      </c>
      <c r="B61" s="153" t="s">
        <v>1595</v>
      </c>
      <c r="C61" s="192">
        <v>1</v>
      </c>
      <c r="D61" s="153" t="s">
        <v>1561</v>
      </c>
      <c r="E61" s="193" t="s">
        <v>1271</v>
      </c>
      <c r="F61" s="194">
        <v>11</v>
      </c>
      <c r="G61" s="153" t="s">
        <v>968</v>
      </c>
      <c r="H61" s="195" t="s">
        <v>1301</v>
      </c>
      <c r="I61" s="195" t="s">
        <v>1229</v>
      </c>
      <c r="J61" s="45">
        <v>1</v>
      </c>
    </row>
    <row r="62" spans="1:10" s="34" customFormat="1">
      <c r="A62" s="138">
        <v>208</v>
      </c>
      <c r="B62" s="153" t="s">
        <v>1595</v>
      </c>
      <c r="C62" s="192">
        <v>1</v>
      </c>
      <c r="D62" s="153" t="s">
        <v>1649</v>
      </c>
      <c r="E62" s="193" t="s">
        <v>1297</v>
      </c>
      <c r="F62" s="194">
        <v>11</v>
      </c>
      <c r="G62" s="153" t="s">
        <v>975</v>
      </c>
      <c r="H62" s="195" t="s">
        <v>1301</v>
      </c>
      <c r="I62" s="195" t="s">
        <v>1229</v>
      </c>
      <c r="J62" s="45">
        <v>1</v>
      </c>
    </row>
    <row r="63" spans="1:10" s="34" customFormat="1">
      <c r="A63" s="138">
        <v>68</v>
      </c>
      <c r="B63" s="139" t="s">
        <v>1595</v>
      </c>
      <c r="C63" s="140">
        <v>2</v>
      </c>
      <c r="D63" s="139" t="s">
        <v>1555</v>
      </c>
      <c r="E63" s="141" t="s">
        <v>1211</v>
      </c>
      <c r="F63" s="143">
        <v>11</v>
      </c>
      <c r="G63" s="139" t="s">
        <v>1007</v>
      </c>
      <c r="H63" s="142" t="s">
        <v>1301</v>
      </c>
      <c r="I63" s="142" t="s">
        <v>1229</v>
      </c>
      <c r="J63" s="45">
        <v>1</v>
      </c>
    </row>
    <row r="64" spans="1:10" s="34" customFormat="1">
      <c r="A64" s="138">
        <v>36</v>
      </c>
      <c r="B64" s="139" t="s">
        <v>1595</v>
      </c>
      <c r="C64" s="140">
        <v>3</v>
      </c>
      <c r="D64" s="139" t="s">
        <v>1567</v>
      </c>
      <c r="E64" s="141" t="s">
        <v>1189</v>
      </c>
      <c r="F64" s="143">
        <v>11</v>
      </c>
      <c r="G64" s="139" t="s">
        <v>593</v>
      </c>
      <c r="H64" s="142" t="s">
        <v>1301</v>
      </c>
      <c r="I64" s="142" t="s">
        <v>1229</v>
      </c>
      <c r="J64" s="45">
        <v>1</v>
      </c>
    </row>
    <row r="65" spans="1:10" s="34" customFormat="1">
      <c r="A65" s="138">
        <v>46</v>
      </c>
      <c r="B65" s="139" t="s">
        <v>1595</v>
      </c>
      <c r="C65" s="140">
        <v>3</v>
      </c>
      <c r="D65" s="139" t="s">
        <v>1624</v>
      </c>
      <c r="E65" s="141" t="s">
        <v>1198</v>
      </c>
      <c r="F65" s="143">
        <v>11</v>
      </c>
      <c r="G65" s="139" t="s">
        <v>596</v>
      </c>
      <c r="H65" s="142" t="s">
        <v>1301</v>
      </c>
      <c r="I65" s="142" t="s">
        <v>1229</v>
      </c>
      <c r="J65" s="45">
        <v>1</v>
      </c>
    </row>
    <row r="66" spans="1:10" s="34" customFormat="1">
      <c r="A66" s="138">
        <v>58</v>
      </c>
      <c r="B66" s="139" t="s">
        <v>1595</v>
      </c>
      <c r="C66" s="140">
        <v>3</v>
      </c>
      <c r="D66" s="139" t="s">
        <v>1630</v>
      </c>
      <c r="E66" s="141" t="s">
        <v>1204</v>
      </c>
      <c r="F66" s="143">
        <v>11</v>
      </c>
      <c r="G66" s="139" t="s">
        <v>597</v>
      </c>
      <c r="H66" s="142" t="s">
        <v>1301</v>
      </c>
      <c r="I66" s="142" t="s">
        <v>1229</v>
      </c>
      <c r="J66" s="45">
        <v>1</v>
      </c>
    </row>
    <row r="67" spans="1:10" s="34" customFormat="1">
      <c r="A67" s="138">
        <v>125</v>
      </c>
      <c r="B67" s="139" t="s">
        <v>1595</v>
      </c>
      <c r="C67" s="140">
        <v>3</v>
      </c>
      <c r="D67" s="139" t="s">
        <v>1553</v>
      </c>
      <c r="E67" s="141" t="s">
        <v>1251</v>
      </c>
      <c r="F67" s="143">
        <v>11</v>
      </c>
      <c r="G67" s="139" t="s">
        <v>980</v>
      </c>
      <c r="H67" s="142" t="s">
        <v>1301</v>
      </c>
      <c r="I67" s="142" t="s">
        <v>1229</v>
      </c>
      <c r="J67" s="45">
        <v>1</v>
      </c>
    </row>
    <row r="68" spans="1:10" s="34" customFormat="1">
      <c r="A68" s="138">
        <v>161</v>
      </c>
      <c r="B68" s="139" t="s">
        <v>1595</v>
      </c>
      <c r="C68" s="140">
        <v>3</v>
      </c>
      <c r="D68" s="139" t="s">
        <v>1553</v>
      </c>
      <c r="E68" s="141" t="s">
        <v>1269</v>
      </c>
      <c r="F68" s="143">
        <v>11</v>
      </c>
      <c r="G68" s="139" t="s">
        <v>587</v>
      </c>
      <c r="H68" s="142" t="s">
        <v>1301</v>
      </c>
      <c r="I68" s="142" t="s">
        <v>1229</v>
      </c>
      <c r="J68" s="45">
        <v>1</v>
      </c>
    </row>
    <row r="69" spans="1:10" s="34" customFormat="1">
      <c r="A69" s="138">
        <v>63</v>
      </c>
      <c r="B69" s="139" t="s">
        <v>1595</v>
      </c>
      <c r="C69" s="140">
        <v>4</v>
      </c>
      <c r="D69" s="139" t="s">
        <v>1555</v>
      </c>
      <c r="E69" s="141" t="s">
        <v>1207</v>
      </c>
      <c r="F69" s="143">
        <v>11</v>
      </c>
      <c r="G69" s="139" t="s">
        <v>598</v>
      </c>
      <c r="H69" s="142" t="s">
        <v>1301</v>
      </c>
      <c r="I69" s="142" t="s">
        <v>1229</v>
      </c>
      <c r="J69" s="45">
        <v>1</v>
      </c>
    </row>
    <row r="70" spans="1:10" s="34" customFormat="1">
      <c r="A70" s="138">
        <v>107</v>
      </c>
      <c r="B70" s="139" t="s">
        <v>1595</v>
      </c>
      <c r="C70" s="140">
        <v>4</v>
      </c>
      <c r="D70" s="139" t="s">
        <v>1551</v>
      </c>
      <c r="E70" s="141" t="s">
        <v>1239</v>
      </c>
      <c r="F70" s="143">
        <v>11</v>
      </c>
      <c r="G70" s="139" t="s">
        <v>587</v>
      </c>
      <c r="H70" s="142" t="s">
        <v>1301</v>
      </c>
      <c r="I70" s="142" t="s">
        <v>1229</v>
      </c>
      <c r="J70" s="45">
        <v>1</v>
      </c>
    </row>
    <row r="71" spans="1:10" s="34" customFormat="1">
      <c r="A71" s="138">
        <v>132</v>
      </c>
      <c r="B71" s="139" t="s">
        <v>1595</v>
      </c>
      <c r="C71" s="140">
        <v>4</v>
      </c>
      <c r="D71" s="139" t="s">
        <v>1553</v>
      </c>
      <c r="E71" s="141" t="s">
        <v>1254</v>
      </c>
      <c r="F71" s="143">
        <v>11</v>
      </c>
      <c r="G71" s="139" t="s">
        <v>1002</v>
      </c>
      <c r="H71" s="142" t="s">
        <v>1301</v>
      </c>
      <c r="I71" s="142" t="s">
        <v>1229</v>
      </c>
      <c r="J71" s="45">
        <v>1</v>
      </c>
    </row>
    <row r="72" spans="1:10" s="34" customFormat="1">
      <c r="A72" s="138">
        <v>146</v>
      </c>
      <c r="B72" s="139" t="s">
        <v>1595</v>
      </c>
      <c r="C72" s="140">
        <v>4</v>
      </c>
      <c r="D72" s="139" t="s">
        <v>1553</v>
      </c>
      <c r="E72" s="141" t="s">
        <v>1262</v>
      </c>
      <c r="F72" s="143">
        <v>11</v>
      </c>
      <c r="G72" s="139" t="s">
        <v>1016</v>
      </c>
      <c r="H72" s="142" t="s">
        <v>1301</v>
      </c>
      <c r="I72" s="142" t="s">
        <v>1229</v>
      </c>
      <c r="J72" s="45">
        <v>1</v>
      </c>
    </row>
    <row r="73" spans="1:10" s="34" customFormat="1">
      <c r="A73" s="138">
        <v>110</v>
      </c>
      <c r="B73" s="139" t="s">
        <v>1595</v>
      </c>
      <c r="C73" s="140">
        <v>5</v>
      </c>
      <c r="D73" s="139" t="s">
        <v>1560</v>
      </c>
      <c r="E73" s="141" t="s">
        <v>1242</v>
      </c>
      <c r="F73" s="143">
        <v>11</v>
      </c>
      <c r="G73" s="139" t="s">
        <v>587</v>
      </c>
      <c r="H73" s="142" t="s">
        <v>1301</v>
      </c>
      <c r="I73" s="142" t="s">
        <v>1229</v>
      </c>
      <c r="J73" s="45">
        <v>1</v>
      </c>
    </row>
    <row r="74" spans="1:10" s="34" customFormat="1">
      <c r="A74" s="138">
        <v>118</v>
      </c>
      <c r="B74" s="139" t="s">
        <v>1595</v>
      </c>
      <c r="C74" s="140">
        <v>5</v>
      </c>
      <c r="D74" s="139" t="s">
        <v>1640</v>
      </c>
      <c r="E74" s="141" t="s">
        <v>1247</v>
      </c>
      <c r="F74" s="143">
        <v>11</v>
      </c>
      <c r="G74" s="139" t="s">
        <v>1025</v>
      </c>
      <c r="H74" s="142" t="s">
        <v>1301</v>
      </c>
      <c r="I74" s="142" t="s">
        <v>1229</v>
      </c>
      <c r="J74" s="45">
        <v>1</v>
      </c>
    </row>
    <row r="75" spans="1:10" s="34" customFormat="1">
      <c r="A75" s="138">
        <v>209</v>
      </c>
      <c r="B75" s="139" t="s">
        <v>1595</v>
      </c>
      <c r="C75" s="140">
        <v>5</v>
      </c>
      <c r="D75" s="139" t="s">
        <v>1649</v>
      </c>
      <c r="E75" s="141" t="s">
        <v>1298</v>
      </c>
      <c r="F75" s="143">
        <v>11</v>
      </c>
      <c r="G75" s="139" t="s">
        <v>591</v>
      </c>
      <c r="H75" s="142" t="s">
        <v>1301</v>
      </c>
      <c r="I75" s="142" t="s">
        <v>1229</v>
      </c>
      <c r="J75" s="45">
        <v>1</v>
      </c>
    </row>
    <row r="76" spans="1:10" s="34" customFormat="1">
      <c r="A76" s="115">
        <v>266</v>
      </c>
      <c r="B76" s="116" t="s">
        <v>1618</v>
      </c>
      <c r="C76" s="117">
        <v>3</v>
      </c>
      <c r="D76" s="116" t="s">
        <v>1664</v>
      </c>
      <c r="E76" s="108" t="s">
        <v>1335</v>
      </c>
      <c r="F76" s="49">
        <v>12</v>
      </c>
      <c r="G76" s="116" t="s">
        <v>588</v>
      </c>
      <c r="H76" s="137" t="s">
        <v>1231</v>
      </c>
      <c r="I76" s="137" t="s">
        <v>1280</v>
      </c>
      <c r="J76" s="45">
        <v>2</v>
      </c>
    </row>
    <row r="77" spans="1:10" s="34" customFormat="1">
      <c r="A77" s="138">
        <v>266</v>
      </c>
      <c r="B77" s="139" t="s">
        <v>541</v>
      </c>
      <c r="C77" s="140">
        <v>2</v>
      </c>
      <c r="D77" s="139" t="s">
        <v>1664</v>
      </c>
      <c r="E77" s="141" t="s">
        <v>1335</v>
      </c>
      <c r="F77" s="143">
        <v>13</v>
      </c>
      <c r="G77" s="139" t="s">
        <v>588</v>
      </c>
      <c r="H77" s="142" t="s">
        <v>1325</v>
      </c>
      <c r="I77" s="142" t="s">
        <v>1280</v>
      </c>
      <c r="J77" s="45">
        <v>1</v>
      </c>
    </row>
    <row r="78" spans="1:10" s="34" customFormat="1">
      <c r="A78" s="44">
        <v>110</v>
      </c>
      <c r="B78" s="113" t="s">
        <v>543</v>
      </c>
      <c r="C78" s="114">
        <v>2</v>
      </c>
      <c r="D78" s="113" t="s">
        <v>1560</v>
      </c>
      <c r="E78" s="108" t="s">
        <v>1242</v>
      </c>
      <c r="F78" s="49">
        <v>15</v>
      </c>
      <c r="G78" s="113" t="s">
        <v>587</v>
      </c>
      <c r="H78" s="137" t="s">
        <v>1328</v>
      </c>
      <c r="I78" s="137" t="s">
        <v>1335</v>
      </c>
      <c r="J78" s="45">
        <v>2</v>
      </c>
    </row>
    <row r="79" spans="1:10" s="34" customFormat="1">
      <c r="A79" s="44">
        <v>209</v>
      </c>
      <c r="B79" s="113" t="s">
        <v>543</v>
      </c>
      <c r="C79" s="114">
        <v>4</v>
      </c>
      <c r="D79" s="113" t="s">
        <v>1649</v>
      </c>
      <c r="E79" s="108" t="s">
        <v>1298</v>
      </c>
      <c r="F79" s="49">
        <v>15</v>
      </c>
      <c r="G79" s="113" t="s">
        <v>591</v>
      </c>
      <c r="H79" s="137" t="s">
        <v>1328</v>
      </c>
      <c r="I79" s="137" t="s">
        <v>1335</v>
      </c>
      <c r="J79" s="45">
        <v>2</v>
      </c>
    </row>
    <row r="80" spans="1:10" s="34" customFormat="1">
      <c r="A80" s="44">
        <v>146</v>
      </c>
      <c r="B80" s="113" t="s">
        <v>543</v>
      </c>
      <c r="C80" s="114">
        <v>5</v>
      </c>
      <c r="D80" s="113" t="s">
        <v>1553</v>
      </c>
      <c r="E80" s="108" t="s">
        <v>1262</v>
      </c>
      <c r="F80" s="49">
        <v>15</v>
      </c>
      <c r="G80" s="113" t="s">
        <v>1016</v>
      </c>
      <c r="H80" s="137" t="s">
        <v>1328</v>
      </c>
      <c r="I80" s="137" t="s">
        <v>1335</v>
      </c>
      <c r="J80" s="45">
        <v>2</v>
      </c>
    </row>
    <row r="81" spans="1:10" s="34" customFormat="1">
      <c r="A81" s="138">
        <v>17</v>
      </c>
      <c r="B81" s="153" t="s">
        <v>544</v>
      </c>
      <c r="C81" s="192">
        <v>1</v>
      </c>
      <c r="D81" s="153" t="s">
        <v>1621</v>
      </c>
      <c r="E81" s="193" t="s">
        <v>1179</v>
      </c>
      <c r="F81" s="194">
        <v>16</v>
      </c>
      <c r="G81" s="153" t="s">
        <v>984</v>
      </c>
      <c r="H81" s="195" t="s">
        <v>1328</v>
      </c>
      <c r="I81" s="195" t="s">
        <v>1335</v>
      </c>
      <c r="J81" s="45">
        <v>1</v>
      </c>
    </row>
    <row r="82" spans="1:10" s="34" customFormat="1">
      <c r="A82" s="138">
        <v>266</v>
      </c>
      <c r="B82" s="153" t="s">
        <v>544</v>
      </c>
      <c r="C82" s="192">
        <v>1</v>
      </c>
      <c r="D82" s="153" t="s">
        <v>1664</v>
      </c>
      <c r="E82" s="193" t="s">
        <v>1335</v>
      </c>
      <c r="F82" s="194">
        <v>16</v>
      </c>
      <c r="G82" s="153" t="s">
        <v>588</v>
      </c>
      <c r="H82" s="195" t="s">
        <v>1328</v>
      </c>
      <c r="I82" s="195" t="s">
        <v>1335</v>
      </c>
      <c r="J82" s="45">
        <v>1</v>
      </c>
    </row>
    <row r="83" spans="1:10" s="34" customFormat="1">
      <c r="A83" s="138">
        <v>209</v>
      </c>
      <c r="B83" s="139" t="s">
        <v>544</v>
      </c>
      <c r="C83" s="140">
        <v>3</v>
      </c>
      <c r="D83" s="139" t="s">
        <v>1649</v>
      </c>
      <c r="E83" s="141" t="s">
        <v>1298</v>
      </c>
      <c r="F83" s="143">
        <v>16</v>
      </c>
      <c r="G83" s="139" t="s">
        <v>591</v>
      </c>
      <c r="H83" s="142" t="s">
        <v>1328</v>
      </c>
      <c r="I83" s="142" t="s">
        <v>1335</v>
      </c>
      <c r="J83" s="45">
        <v>1</v>
      </c>
    </row>
    <row r="84" spans="1:10" s="34" customFormat="1">
      <c r="A84" s="138">
        <v>56</v>
      </c>
      <c r="B84" s="139" t="s">
        <v>544</v>
      </c>
      <c r="C84" s="140">
        <v>4</v>
      </c>
      <c r="D84" s="139" t="s">
        <v>1629</v>
      </c>
      <c r="E84" s="141" t="s">
        <v>1203</v>
      </c>
      <c r="F84" s="143">
        <v>16</v>
      </c>
      <c r="G84" s="139" t="s">
        <v>587</v>
      </c>
      <c r="H84" s="142" t="s">
        <v>1328</v>
      </c>
      <c r="I84" s="142" t="s">
        <v>1335</v>
      </c>
      <c r="J84" s="45">
        <v>1</v>
      </c>
    </row>
    <row r="85" spans="1:10" s="34" customFormat="1">
      <c r="A85" s="138">
        <v>118</v>
      </c>
      <c r="B85" s="139" t="s">
        <v>544</v>
      </c>
      <c r="C85" s="140">
        <v>4</v>
      </c>
      <c r="D85" s="139" t="s">
        <v>1640</v>
      </c>
      <c r="E85" s="141" t="s">
        <v>1247</v>
      </c>
      <c r="F85" s="143">
        <v>16</v>
      </c>
      <c r="G85" s="139" t="s">
        <v>1025</v>
      </c>
      <c r="H85" s="142" t="s">
        <v>1328</v>
      </c>
      <c r="I85" s="142" t="s">
        <v>1335</v>
      </c>
      <c r="J85" s="45">
        <v>1</v>
      </c>
    </row>
    <row r="86" spans="1:10" s="34" customFormat="1">
      <c r="A86" s="138">
        <v>107</v>
      </c>
      <c r="B86" s="139" t="s">
        <v>544</v>
      </c>
      <c r="C86" s="140">
        <v>5</v>
      </c>
      <c r="D86" s="139" t="s">
        <v>1551</v>
      </c>
      <c r="E86" s="141" t="s">
        <v>1239</v>
      </c>
      <c r="F86" s="143">
        <v>16</v>
      </c>
      <c r="G86" s="139" t="s">
        <v>587</v>
      </c>
      <c r="H86" s="142" t="s">
        <v>1328</v>
      </c>
      <c r="I86" s="142" t="s">
        <v>1335</v>
      </c>
      <c r="J86" s="45">
        <v>1</v>
      </c>
    </row>
    <row r="87" spans="1:10" s="34" customFormat="1">
      <c r="A87" s="138">
        <v>125</v>
      </c>
      <c r="B87" s="139" t="s">
        <v>544</v>
      </c>
      <c r="C87" s="140">
        <v>5</v>
      </c>
      <c r="D87" s="139" t="s">
        <v>1553</v>
      </c>
      <c r="E87" s="141" t="s">
        <v>1251</v>
      </c>
      <c r="F87" s="143">
        <v>16</v>
      </c>
      <c r="G87" s="139" t="s">
        <v>980</v>
      </c>
      <c r="H87" s="142" t="s">
        <v>1328</v>
      </c>
      <c r="I87" s="142" t="s">
        <v>1335</v>
      </c>
      <c r="J87" s="45">
        <v>1</v>
      </c>
    </row>
    <row r="88" spans="1:10" s="34" customFormat="1">
      <c r="A88" s="44">
        <v>234</v>
      </c>
      <c r="B88" s="152" t="s">
        <v>955</v>
      </c>
      <c r="C88" s="186">
        <v>1</v>
      </c>
      <c r="D88" s="152" t="s">
        <v>1655</v>
      </c>
      <c r="E88" s="155" t="s">
        <v>1314</v>
      </c>
      <c r="F88" s="187">
        <v>17</v>
      </c>
      <c r="G88" s="152" t="s">
        <v>599</v>
      </c>
      <c r="H88" s="137">
        <v>0</v>
      </c>
      <c r="I88" s="137" t="s">
        <v>1314</v>
      </c>
      <c r="J88" s="45">
        <v>2</v>
      </c>
    </row>
    <row r="89" spans="1:10" s="34" customFormat="1">
      <c r="A89" s="44">
        <v>235</v>
      </c>
      <c r="B89" s="113" t="s">
        <v>955</v>
      </c>
      <c r="C89" s="114">
        <v>2</v>
      </c>
      <c r="D89" s="113" t="s">
        <v>1655</v>
      </c>
      <c r="E89" s="108" t="s">
        <v>1315</v>
      </c>
      <c r="F89" s="49">
        <v>17</v>
      </c>
      <c r="G89" s="113" t="s">
        <v>991</v>
      </c>
      <c r="H89" s="137">
        <v>0</v>
      </c>
      <c r="I89" s="137" t="s">
        <v>1314</v>
      </c>
      <c r="J89" s="45">
        <v>2</v>
      </c>
    </row>
    <row r="90" spans="1:10" s="34" customFormat="1">
      <c r="A90" s="138">
        <v>25</v>
      </c>
      <c r="B90" s="153" t="s">
        <v>1588</v>
      </c>
      <c r="C90" s="192">
        <v>1</v>
      </c>
      <c r="D90" s="153" t="s">
        <v>1622</v>
      </c>
      <c r="E90" s="193" t="s">
        <v>1182</v>
      </c>
      <c r="F90" s="194">
        <v>18</v>
      </c>
      <c r="G90" s="153" t="s">
        <v>588</v>
      </c>
      <c r="H90" s="195" t="s">
        <v>1295</v>
      </c>
      <c r="I90" s="195" t="s">
        <v>1295</v>
      </c>
      <c r="J90" s="45">
        <v>1</v>
      </c>
    </row>
    <row r="91" spans="1:10" s="34" customFormat="1">
      <c r="A91" s="138">
        <v>47</v>
      </c>
      <c r="B91" s="153" t="s">
        <v>1588</v>
      </c>
      <c r="C91" s="192">
        <v>1</v>
      </c>
      <c r="D91" s="153" t="s">
        <v>1624</v>
      </c>
      <c r="E91" s="193" t="s">
        <v>1199</v>
      </c>
      <c r="F91" s="194">
        <v>18</v>
      </c>
      <c r="G91" s="153" t="s">
        <v>587</v>
      </c>
      <c r="H91" s="195" t="s">
        <v>1295</v>
      </c>
      <c r="I91" s="195" t="s">
        <v>1295</v>
      </c>
      <c r="J91" s="45">
        <v>1</v>
      </c>
    </row>
    <row r="92" spans="1:10" s="34" customFormat="1">
      <c r="A92" s="138">
        <v>55</v>
      </c>
      <c r="B92" s="153" t="s">
        <v>1588</v>
      </c>
      <c r="C92" s="192">
        <v>1</v>
      </c>
      <c r="D92" s="153" t="s">
        <v>1628</v>
      </c>
      <c r="E92" s="193" t="s">
        <v>1202</v>
      </c>
      <c r="F92" s="194">
        <v>18</v>
      </c>
      <c r="G92" s="153" t="s">
        <v>1017</v>
      </c>
      <c r="H92" s="195" t="s">
        <v>1295</v>
      </c>
      <c r="I92" s="195" t="s">
        <v>1295</v>
      </c>
      <c r="J92" s="45">
        <v>1</v>
      </c>
    </row>
    <row r="93" spans="1:10" s="34" customFormat="1">
      <c r="A93" s="138">
        <v>206</v>
      </c>
      <c r="B93" s="153" t="s">
        <v>1588</v>
      </c>
      <c r="C93" s="192">
        <v>1</v>
      </c>
      <c r="D93" s="153" t="s">
        <v>1649</v>
      </c>
      <c r="E93" s="193" t="s">
        <v>1295</v>
      </c>
      <c r="F93" s="194">
        <v>18</v>
      </c>
      <c r="G93" s="153" t="s">
        <v>596</v>
      </c>
      <c r="H93" s="195" t="s">
        <v>1295</v>
      </c>
      <c r="I93" s="195" t="s">
        <v>1295</v>
      </c>
      <c r="J93" s="45">
        <v>1</v>
      </c>
    </row>
    <row r="94" spans="1:10" s="34" customFormat="1">
      <c r="A94" s="138">
        <v>256</v>
      </c>
      <c r="B94" s="153" t="s">
        <v>1588</v>
      </c>
      <c r="C94" s="192">
        <v>1</v>
      </c>
      <c r="D94" s="153" t="s">
        <v>1662</v>
      </c>
      <c r="E94" s="193" t="s">
        <v>1329</v>
      </c>
      <c r="F94" s="194">
        <v>18</v>
      </c>
      <c r="G94" s="153" t="s">
        <v>1019</v>
      </c>
      <c r="H94" s="195" t="s">
        <v>1295</v>
      </c>
      <c r="I94" s="195" t="s">
        <v>1295</v>
      </c>
      <c r="J94" s="45">
        <v>1</v>
      </c>
    </row>
    <row r="95" spans="1:10" s="34" customFormat="1">
      <c r="A95" s="138">
        <v>261</v>
      </c>
      <c r="B95" s="153" t="s">
        <v>1588</v>
      </c>
      <c r="C95" s="192">
        <v>1</v>
      </c>
      <c r="D95" s="153" t="s">
        <v>1664</v>
      </c>
      <c r="E95" s="193" t="s">
        <v>1333</v>
      </c>
      <c r="F95" s="194">
        <v>18</v>
      </c>
      <c r="G95" s="153" t="s">
        <v>589</v>
      </c>
      <c r="H95" s="195" t="s">
        <v>1295</v>
      </c>
      <c r="I95" s="195" t="s">
        <v>1295</v>
      </c>
      <c r="J95" s="45">
        <v>1</v>
      </c>
    </row>
    <row r="96" spans="1:10" s="34" customFormat="1">
      <c r="A96" s="138">
        <v>135</v>
      </c>
      <c r="B96" s="139" t="s">
        <v>1588</v>
      </c>
      <c r="C96" s="140">
        <v>2</v>
      </c>
      <c r="D96" s="139" t="s">
        <v>1553</v>
      </c>
      <c r="E96" s="141" t="s">
        <v>1256</v>
      </c>
      <c r="F96" s="143">
        <v>18</v>
      </c>
      <c r="G96" s="139" t="s">
        <v>597</v>
      </c>
      <c r="H96" s="142" t="s">
        <v>1295</v>
      </c>
      <c r="I96" s="142" t="s">
        <v>1295</v>
      </c>
      <c r="J96" s="45">
        <v>1</v>
      </c>
    </row>
    <row r="97" spans="1:10" s="34" customFormat="1">
      <c r="A97" s="138">
        <v>207</v>
      </c>
      <c r="B97" s="139" t="s">
        <v>1588</v>
      </c>
      <c r="C97" s="140">
        <v>2</v>
      </c>
      <c r="D97" s="139" t="s">
        <v>1649</v>
      </c>
      <c r="E97" s="141" t="s">
        <v>1296</v>
      </c>
      <c r="F97" s="143">
        <v>18</v>
      </c>
      <c r="G97" s="139" t="s">
        <v>603</v>
      </c>
      <c r="H97" s="142" t="s">
        <v>1295</v>
      </c>
      <c r="I97" s="142" t="s">
        <v>1295</v>
      </c>
      <c r="J97" s="45">
        <v>1</v>
      </c>
    </row>
    <row r="98" spans="1:10" s="34" customFormat="1">
      <c r="A98" s="138">
        <v>122</v>
      </c>
      <c r="B98" s="139" t="s">
        <v>1588</v>
      </c>
      <c r="C98" s="140">
        <v>3</v>
      </c>
      <c r="D98" s="139" t="s">
        <v>1553</v>
      </c>
      <c r="E98" s="141" t="s">
        <v>1248</v>
      </c>
      <c r="F98" s="143">
        <v>18</v>
      </c>
      <c r="G98" s="139" t="s">
        <v>1013</v>
      </c>
      <c r="H98" s="142" t="s">
        <v>1295</v>
      </c>
      <c r="I98" s="142" t="s">
        <v>1295</v>
      </c>
      <c r="J98" s="45">
        <v>1</v>
      </c>
    </row>
    <row r="99" spans="1:10" s="34" customFormat="1">
      <c r="A99" s="138">
        <v>141</v>
      </c>
      <c r="B99" s="139" t="s">
        <v>1588</v>
      </c>
      <c r="C99" s="140">
        <v>3</v>
      </c>
      <c r="D99" s="139" t="s">
        <v>1553</v>
      </c>
      <c r="E99" s="141" t="s">
        <v>1259</v>
      </c>
      <c r="F99" s="143">
        <v>18</v>
      </c>
      <c r="G99" s="139" t="s">
        <v>1004</v>
      </c>
      <c r="H99" s="142" t="s">
        <v>1295</v>
      </c>
      <c r="I99" s="142" t="s">
        <v>1295</v>
      </c>
      <c r="J99" s="45">
        <v>1</v>
      </c>
    </row>
    <row r="100" spans="1:10" s="34" customFormat="1">
      <c r="A100" s="138">
        <v>235</v>
      </c>
      <c r="B100" s="139" t="s">
        <v>1588</v>
      </c>
      <c r="C100" s="140">
        <v>3</v>
      </c>
      <c r="D100" s="139" t="s">
        <v>1655</v>
      </c>
      <c r="E100" s="141" t="s">
        <v>1315</v>
      </c>
      <c r="F100" s="143">
        <v>18</v>
      </c>
      <c r="G100" s="139" t="s">
        <v>991</v>
      </c>
      <c r="H100" s="142" t="s">
        <v>1295</v>
      </c>
      <c r="I100" s="142" t="s">
        <v>1295</v>
      </c>
      <c r="J100" s="45">
        <v>1</v>
      </c>
    </row>
    <row r="101" spans="1:10" s="34" customFormat="1">
      <c r="A101" s="138">
        <v>262</v>
      </c>
      <c r="B101" s="139" t="s">
        <v>1588</v>
      </c>
      <c r="C101" s="140">
        <v>3</v>
      </c>
      <c r="D101" s="139" t="s">
        <v>1664</v>
      </c>
      <c r="E101" s="141" t="s">
        <v>1334</v>
      </c>
      <c r="F101" s="143">
        <v>18</v>
      </c>
      <c r="G101" s="139" t="s">
        <v>595</v>
      </c>
      <c r="H101" s="142" t="s">
        <v>1295</v>
      </c>
      <c r="I101" s="142" t="s">
        <v>1295</v>
      </c>
      <c r="J101" s="45">
        <v>1</v>
      </c>
    </row>
    <row r="102" spans="1:10" s="34" customFormat="1">
      <c r="A102" s="138">
        <v>66</v>
      </c>
      <c r="B102" s="139" t="s">
        <v>1588</v>
      </c>
      <c r="C102" s="140">
        <v>4</v>
      </c>
      <c r="D102" s="139" t="s">
        <v>1555</v>
      </c>
      <c r="E102" s="141" t="s">
        <v>1209</v>
      </c>
      <c r="F102" s="143">
        <v>18</v>
      </c>
      <c r="G102" s="139" t="s">
        <v>587</v>
      </c>
      <c r="H102" s="142" t="s">
        <v>1295</v>
      </c>
      <c r="I102" s="142" t="s">
        <v>1295</v>
      </c>
      <c r="J102" s="45">
        <v>1</v>
      </c>
    </row>
    <row r="103" spans="1:10" s="34" customFormat="1">
      <c r="A103" s="138">
        <v>198</v>
      </c>
      <c r="B103" s="139" t="s">
        <v>1588</v>
      </c>
      <c r="C103" s="140">
        <v>4</v>
      </c>
      <c r="D103" s="139" t="s">
        <v>1648</v>
      </c>
      <c r="E103" s="141" t="s">
        <v>1292</v>
      </c>
      <c r="F103" s="143">
        <v>18</v>
      </c>
      <c r="G103" s="139" t="s">
        <v>1012</v>
      </c>
      <c r="H103" s="142" t="s">
        <v>1295</v>
      </c>
      <c r="I103" s="142" t="s">
        <v>1295</v>
      </c>
      <c r="J103" s="45">
        <v>1</v>
      </c>
    </row>
    <row r="104" spans="1:10" s="34" customFormat="1">
      <c r="A104" s="138">
        <v>275</v>
      </c>
      <c r="B104" s="139" t="s">
        <v>1588</v>
      </c>
      <c r="C104" s="140">
        <v>4</v>
      </c>
      <c r="D104" s="139" t="s">
        <v>1563</v>
      </c>
      <c r="E104" s="141" t="s">
        <v>1340</v>
      </c>
      <c r="F104" s="143">
        <v>18</v>
      </c>
      <c r="G104" s="139" t="s">
        <v>1029</v>
      </c>
      <c r="H104" s="142" t="s">
        <v>1295</v>
      </c>
      <c r="I104" s="142" t="s">
        <v>1295</v>
      </c>
      <c r="J104" s="45">
        <v>1</v>
      </c>
    </row>
    <row r="105" spans="1:10" s="34" customFormat="1">
      <c r="A105" s="44">
        <v>25</v>
      </c>
      <c r="B105" s="113" t="s">
        <v>615</v>
      </c>
      <c r="C105" s="114">
        <v>2</v>
      </c>
      <c r="D105" s="113" t="s">
        <v>1622</v>
      </c>
      <c r="E105" s="108" t="s">
        <v>1182</v>
      </c>
      <c r="F105" s="49">
        <v>19</v>
      </c>
      <c r="G105" s="113" t="s">
        <v>588</v>
      </c>
      <c r="H105" s="137" t="s">
        <v>1182</v>
      </c>
      <c r="I105" s="137" t="s">
        <v>1329</v>
      </c>
      <c r="J105" s="45">
        <v>2</v>
      </c>
    </row>
    <row r="106" spans="1:10" s="34" customFormat="1">
      <c r="A106" s="44">
        <v>256</v>
      </c>
      <c r="B106" s="113" t="s">
        <v>615</v>
      </c>
      <c r="C106" s="114">
        <v>2</v>
      </c>
      <c r="D106" s="113" t="s">
        <v>1662</v>
      </c>
      <c r="E106" s="108" t="s">
        <v>1329</v>
      </c>
      <c r="F106" s="49">
        <v>19</v>
      </c>
      <c r="G106" s="113" t="s">
        <v>1019</v>
      </c>
      <c r="H106" s="137" t="s">
        <v>1182</v>
      </c>
      <c r="I106" s="137" t="s">
        <v>1329</v>
      </c>
      <c r="J106" s="45">
        <v>2</v>
      </c>
    </row>
    <row r="107" spans="1:10" s="34" customFormat="1">
      <c r="A107" s="44">
        <v>173</v>
      </c>
      <c r="B107" s="113" t="s">
        <v>615</v>
      </c>
      <c r="C107" s="114">
        <v>3</v>
      </c>
      <c r="D107" s="113" t="s">
        <v>1641</v>
      </c>
      <c r="E107" s="108" t="s">
        <v>1277</v>
      </c>
      <c r="F107" s="49">
        <v>19</v>
      </c>
      <c r="G107" s="113" t="s">
        <v>589</v>
      </c>
      <c r="H107" s="137" t="s">
        <v>1182</v>
      </c>
      <c r="I107" s="137" t="s">
        <v>1329</v>
      </c>
      <c r="J107" s="45">
        <v>2</v>
      </c>
    </row>
    <row r="108" spans="1:10" s="34" customFormat="1">
      <c r="A108" s="138">
        <v>24</v>
      </c>
      <c r="B108" s="153" t="s">
        <v>1587</v>
      </c>
      <c r="C108" s="192">
        <v>1</v>
      </c>
      <c r="D108" s="153" t="s">
        <v>1622</v>
      </c>
      <c r="E108" s="193" t="s">
        <v>1181</v>
      </c>
      <c r="F108" s="194">
        <v>20</v>
      </c>
      <c r="G108" s="153" t="s">
        <v>1001</v>
      </c>
      <c r="H108" s="195" t="s">
        <v>1216</v>
      </c>
      <c r="I108" s="195" t="s">
        <v>1418</v>
      </c>
      <c r="J108" s="45">
        <v>1</v>
      </c>
    </row>
    <row r="109" spans="1:10" s="34" customFormat="1">
      <c r="A109" s="138">
        <v>260</v>
      </c>
      <c r="B109" s="139" t="s">
        <v>1587</v>
      </c>
      <c r="C109" s="140">
        <v>2</v>
      </c>
      <c r="D109" s="139" t="s">
        <v>1664</v>
      </c>
      <c r="E109" s="141" t="s">
        <v>1332</v>
      </c>
      <c r="F109" s="143">
        <v>20</v>
      </c>
      <c r="G109" s="139" t="s">
        <v>599</v>
      </c>
      <c r="H109" s="142" t="s">
        <v>1216</v>
      </c>
      <c r="I109" s="142" t="s">
        <v>1418</v>
      </c>
      <c r="J109" s="45">
        <v>1</v>
      </c>
    </row>
    <row r="110" spans="1:10" s="34" customFormat="1">
      <c r="A110" s="44">
        <v>25</v>
      </c>
      <c r="B110" s="113" t="s">
        <v>950</v>
      </c>
      <c r="C110" s="114">
        <v>3</v>
      </c>
      <c r="D110" s="113" t="s">
        <v>1622</v>
      </c>
      <c r="E110" s="108" t="s">
        <v>1182</v>
      </c>
      <c r="F110" s="49">
        <v>21</v>
      </c>
      <c r="G110" s="113" t="s">
        <v>588</v>
      </c>
      <c r="H110" s="137" t="s">
        <v>1202</v>
      </c>
      <c r="I110" s="137" t="s">
        <v>1277</v>
      </c>
      <c r="J110" s="45">
        <v>2</v>
      </c>
    </row>
    <row r="111" spans="1:10" s="34" customFormat="1">
      <c r="A111" s="44">
        <v>246</v>
      </c>
      <c r="B111" s="113" t="s">
        <v>950</v>
      </c>
      <c r="C111" s="114">
        <v>3</v>
      </c>
      <c r="D111" s="113" t="s">
        <v>1660</v>
      </c>
      <c r="E111" s="108" t="s">
        <v>1324</v>
      </c>
      <c r="F111" s="49">
        <v>21</v>
      </c>
      <c r="G111" s="113" t="s">
        <v>1028</v>
      </c>
      <c r="H111" s="137" t="s">
        <v>1202</v>
      </c>
      <c r="I111" s="137" t="s">
        <v>1277</v>
      </c>
      <c r="J111" s="45">
        <v>2</v>
      </c>
    </row>
    <row r="112" spans="1:10" s="34" customFormat="1">
      <c r="A112" s="138">
        <v>213</v>
      </c>
      <c r="B112" s="153" t="s">
        <v>956</v>
      </c>
      <c r="C112" s="192">
        <v>1</v>
      </c>
      <c r="D112" s="153" t="s">
        <v>1650</v>
      </c>
      <c r="E112" s="193" t="s">
        <v>1302</v>
      </c>
      <c r="F112" s="194">
        <v>22</v>
      </c>
      <c r="G112" s="153" t="s">
        <v>994</v>
      </c>
      <c r="H112" s="195" t="s">
        <v>1298</v>
      </c>
      <c r="I112" s="195" t="s">
        <v>1302</v>
      </c>
      <c r="J112" s="45">
        <v>1</v>
      </c>
    </row>
    <row r="113" spans="1:10" s="34" customFormat="1">
      <c r="A113" s="138">
        <v>124</v>
      </c>
      <c r="B113" s="139" t="s">
        <v>956</v>
      </c>
      <c r="C113" s="140">
        <v>2</v>
      </c>
      <c r="D113" s="139" t="s">
        <v>1553</v>
      </c>
      <c r="E113" s="141" t="s">
        <v>1418</v>
      </c>
      <c r="F113" s="143">
        <v>22</v>
      </c>
      <c r="G113" s="139" t="s">
        <v>1006</v>
      </c>
      <c r="H113" s="142" t="s">
        <v>1298</v>
      </c>
      <c r="I113" s="142" t="s">
        <v>1302</v>
      </c>
      <c r="J113" s="45">
        <v>1</v>
      </c>
    </row>
    <row r="114" spans="1:10" s="34" customFormat="1">
      <c r="A114" s="138">
        <v>141</v>
      </c>
      <c r="B114" s="139" t="s">
        <v>956</v>
      </c>
      <c r="C114" s="140">
        <v>2</v>
      </c>
      <c r="D114" s="139" t="s">
        <v>1553</v>
      </c>
      <c r="E114" s="141" t="s">
        <v>1259</v>
      </c>
      <c r="F114" s="143">
        <v>22</v>
      </c>
      <c r="G114" s="139" t="s">
        <v>1004</v>
      </c>
      <c r="H114" s="142" t="s">
        <v>1298</v>
      </c>
      <c r="I114" s="142" t="s">
        <v>1302</v>
      </c>
      <c r="J114" s="45">
        <v>1</v>
      </c>
    </row>
    <row r="115" spans="1:10" s="34" customFormat="1">
      <c r="A115" s="138">
        <v>246</v>
      </c>
      <c r="B115" s="139" t="s">
        <v>956</v>
      </c>
      <c r="C115" s="140">
        <v>2</v>
      </c>
      <c r="D115" s="139" t="s">
        <v>1660</v>
      </c>
      <c r="E115" s="141" t="s">
        <v>1324</v>
      </c>
      <c r="F115" s="143">
        <v>22</v>
      </c>
      <c r="G115" s="139" t="s">
        <v>1028</v>
      </c>
      <c r="H115" s="142" t="s">
        <v>1298</v>
      </c>
      <c r="I115" s="142" t="s">
        <v>1302</v>
      </c>
      <c r="J115" s="45">
        <v>1</v>
      </c>
    </row>
    <row r="116" spans="1:10" s="34" customFormat="1">
      <c r="A116" s="138">
        <v>262</v>
      </c>
      <c r="B116" s="139" t="s">
        <v>956</v>
      </c>
      <c r="C116" s="140">
        <v>2</v>
      </c>
      <c r="D116" s="139" t="s">
        <v>1664</v>
      </c>
      <c r="E116" s="141" t="s">
        <v>1334</v>
      </c>
      <c r="F116" s="143">
        <v>22</v>
      </c>
      <c r="G116" s="139" t="s">
        <v>595</v>
      </c>
      <c r="H116" s="142" t="s">
        <v>1298</v>
      </c>
      <c r="I116" s="142" t="s">
        <v>1302</v>
      </c>
      <c r="J116" s="45">
        <v>1</v>
      </c>
    </row>
    <row r="117" spans="1:10" s="34" customFormat="1">
      <c r="A117" s="138">
        <v>172</v>
      </c>
      <c r="B117" s="139" t="s">
        <v>956</v>
      </c>
      <c r="C117" s="140">
        <v>3</v>
      </c>
      <c r="D117" s="139" t="s">
        <v>1641</v>
      </c>
      <c r="E117" s="141" t="s">
        <v>1276</v>
      </c>
      <c r="F117" s="143">
        <v>22</v>
      </c>
      <c r="G117" s="139" t="s">
        <v>969</v>
      </c>
      <c r="H117" s="142" t="s">
        <v>1298</v>
      </c>
      <c r="I117" s="142" t="s">
        <v>1302</v>
      </c>
      <c r="J117" s="45">
        <v>1</v>
      </c>
    </row>
    <row r="118" spans="1:10" s="34" customFormat="1">
      <c r="A118" s="138">
        <v>256</v>
      </c>
      <c r="B118" s="139" t="s">
        <v>956</v>
      </c>
      <c r="C118" s="140">
        <v>3</v>
      </c>
      <c r="D118" s="139" t="s">
        <v>1662</v>
      </c>
      <c r="E118" s="141" t="s">
        <v>1329</v>
      </c>
      <c r="F118" s="143">
        <v>22</v>
      </c>
      <c r="G118" s="139" t="s">
        <v>1019</v>
      </c>
      <c r="H118" s="142" t="s">
        <v>1298</v>
      </c>
      <c r="I118" s="142" t="s">
        <v>1302</v>
      </c>
      <c r="J118" s="45">
        <v>1</v>
      </c>
    </row>
    <row r="119" spans="1:10" s="34" customFormat="1">
      <c r="A119" s="138">
        <v>25</v>
      </c>
      <c r="B119" s="139" t="s">
        <v>956</v>
      </c>
      <c r="C119" s="140">
        <v>4</v>
      </c>
      <c r="D119" s="139" t="s">
        <v>1622</v>
      </c>
      <c r="E119" s="141" t="s">
        <v>1182</v>
      </c>
      <c r="F119" s="143">
        <v>22</v>
      </c>
      <c r="G119" s="139" t="s">
        <v>588</v>
      </c>
      <c r="H119" s="142" t="s">
        <v>1298</v>
      </c>
      <c r="I119" s="142" t="s">
        <v>1302</v>
      </c>
      <c r="J119" s="45">
        <v>1</v>
      </c>
    </row>
    <row r="120" spans="1:10" s="34" customFormat="1">
      <c r="A120" s="138">
        <v>207</v>
      </c>
      <c r="B120" s="139" t="s">
        <v>956</v>
      </c>
      <c r="C120" s="140">
        <v>4</v>
      </c>
      <c r="D120" s="139" t="s">
        <v>1649</v>
      </c>
      <c r="E120" s="141" t="s">
        <v>1296</v>
      </c>
      <c r="F120" s="143">
        <v>22</v>
      </c>
      <c r="G120" s="139" t="s">
        <v>603</v>
      </c>
      <c r="H120" s="142" t="s">
        <v>1298</v>
      </c>
      <c r="I120" s="142" t="s">
        <v>1302</v>
      </c>
      <c r="J120" s="45">
        <v>1</v>
      </c>
    </row>
    <row r="121" spans="1:10" s="34" customFormat="1">
      <c r="A121" s="138">
        <v>225</v>
      </c>
      <c r="B121" s="139" t="s">
        <v>956</v>
      </c>
      <c r="C121" s="140">
        <v>4</v>
      </c>
      <c r="D121" s="139" t="s">
        <v>1652</v>
      </c>
      <c r="E121" s="141" t="s">
        <v>1307</v>
      </c>
      <c r="F121" s="143">
        <v>22</v>
      </c>
      <c r="G121" s="139" t="s">
        <v>996</v>
      </c>
      <c r="H121" s="142" t="s">
        <v>1298</v>
      </c>
      <c r="I121" s="142" t="s">
        <v>1302</v>
      </c>
      <c r="J121" s="45">
        <v>1</v>
      </c>
    </row>
    <row r="122" spans="1:10" s="34" customFormat="1">
      <c r="A122" s="138">
        <v>173</v>
      </c>
      <c r="B122" s="139" t="s">
        <v>956</v>
      </c>
      <c r="C122" s="140">
        <v>5</v>
      </c>
      <c r="D122" s="139" t="s">
        <v>1641</v>
      </c>
      <c r="E122" s="141" t="s">
        <v>1277</v>
      </c>
      <c r="F122" s="143">
        <v>22</v>
      </c>
      <c r="G122" s="139" t="s">
        <v>589</v>
      </c>
      <c r="H122" s="142" t="s">
        <v>1298</v>
      </c>
      <c r="I122" s="142" t="s">
        <v>1302</v>
      </c>
      <c r="J122" s="45">
        <v>1</v>
      </c>
    </row>
    <row r="123" spans="1:10" s="34" customFormat="1">
      <c r="A123" s="44">
        <v>81</v>
      </c>
      <c r="B123" s="152" t="s">
        <v>1586</v>
      </c>
      <c r="C123" s="186">
        <v>1</v>
      </c>
      <c r="D123" s="152" t="s">
        <v>1557</v>
      </c>
      <c r="E123" s="155" t="s">
        <v>1220</v>
      </c>
      <c r="F123" s="187">
        <v>23</v>
      </c>
      <c r="G123" s="152" t="s">
        <v>977</v>
      </c>
      <c r="H123" s="137" t="s">
        <v>1254</v>
      </c>
      <c r="I123" s="137" t="s">
        <v>1285</v>
      </c>
      <c r="J123" s="45">
        <v>2</v>
      </c>
    </row>
    <row r="124" spans="1:10" s="34" customFormat="1">
      <c r="A124" s="44">
        <v>99</v>
      </c>
      <c r="B124" s="152" t="s">
        <v>1586</v>
      </c>
      <c r="C124" s="186">
        <v>1</v>
      </c>
      <c r="D124" s="152" t="s">
        <v>1638</v>
      </c>
      <c r="E124" s="155" t="s">
        <v>1233</v>
      </c>
      <c r="F124" s="187">
        <v>23</v>
      </c>
      <c r="G124" s="152" t="s">
        <v>1010</v>
      </c>
      <c r="H124" s="137" t="s">
        <v>1254</v>
      </c>
      <c r="I124" s="137" t="s">
        <v>1285</v>
      </c>
      <c r="J124" s="45">
        <v>2</v>
      </c>
    </row>
    <row r="125" spans="1:10" s="34" customFormat="1">
      <c r="A125" s="44">
        <v>132</v>
      </c>
      <c r="B125" s="152" t="s">
        <v>1586</v>
      </c>
      <c r="C125" s="186">
        <v>1</v>
      </c>
      <c r="D125" s="152" t="s">
        <v>1553</v>
      </c>
      <c r="E125" s="155" t="s">
        <v>1254</v>
      </c>
      <c r="F125" s="187">
        <v>23</v>
      </c>
      <c r="G125" s="152" t="s">
        <v>1002</v>
      </c>
      <c r="H125" s="137" t="s">
        <v>1254</v>
      </c>
      <c r="I125" s="137" t="s">
        <v>1285</v>
      </c>
      <c r="J125" s="45">
        <v>2</v>
      </c>
    </row>
    <row r="126" spans="1:10" s="34" customFormat="1">
      <c r="A126" s="44">
        <v>144</v>
      </c>
      <c r="B126" s="152" t="s">
        <v>1586</v>
      </c>
      <c r="C126" s="186">
        <v>1</v>
      </c>
      <c r="D126" s="152" t="s">
        <v>1553</v>
      </c>
      <c r="E126" s="155" t="s">
        <v>1260</v>
      </c>
      <c r="F126" s="187">
        <v>23</v>
      </c>
      <c r="G126" s="152" t="s">
        <v>998</v>
      </c>
      <c r="H126" s="137" t="s">
        <v>1254</v>
      </c>
      <c r="I126" s="137" t="s">
        <v>1285</v>
      </c>
      <c r="J126" s="45">
        <v>2</v>
      </c>
    </row>
    <row r="127" spans="1:10" s="34" customFormat="1">
      <c r="A127" s="44">
        <v>186</v>
      </c>
      <c r="B127" s="113" t="s">
        <v>1586</v>
      </c>
      <c r="C127" s="114">
        <v>2</v>
      </c>
      <c r="D127" s="113" t="s">
        <v>1645</v>
      </c>
      <c r="E127" s="108" t="s">
        <v>1285</v>
      </c>
      <c r="F127" s="49">
        <v>23</v>
      </c>
      <c r="G127" s="113" t="s">
        <v>587</v>
      </c>
      <c r="H127" s="137" t="s">
        <v>1254</v>
      </c>
      <c r="I127" s="137" t="s">
        <v>1285</v>
      </c>
      <c r="J127" s="45">
        <v>2</v>
      </c>
    </row>
    <row r="128" spans="1:10" s="34" customFormat="1">
      <c r="A128" s="44">
        <v>196</v>
      </c>
      <c r="B128" s="113" t="s">
        <v>1586</v>
      </c>
      <c r="C128" s="114">
        <v>3</v>
      </c>
      <c r="D128" s="113" t="s">
        <v>1648</v>
      </c>
      <c r="E128" s="108" t="s">
        <v>1291</v>
      </c>
      <c r="F128" s="49">
        <v>23</v>
      </c>
      <c r="G128" s="113" t="s">
        <v>999</v>
      </c>
      <c r="H128" s="137" t="s">
        <v>1254</v>
      </c>
      <c r="I128" s="137" t="s">
        <v>1285</v>
      </c>
      <c r="J128" s="45">
        <v>2</v>
      </c>
    </row>
    <row r="129" spans="1:10" s="34" customFormat="1">
      <c r="A129" s="49">
        <v>292</v>
      </c>
      <c r="B129" s="108" t="s">
        <v>1586</v>
      </c>
      <c r="C129" s="49">
        <v>3</v>
      </c>
      <c r="D129" s="108" t="s">
        <v>962</v>
      </c>
      <c r="E129" s="108" t="s">
        <v>1433</v>
      </c>
      <c r="F129" s="49">
        <v>23</v>
      </c>
      <c r="G129" s="10" t="s">
        <v>1414</v>
      </c>
      <c r="H129" s="137" t="s">
        <v>1254</v>
      </c>
      <c r="I129" s="137" t="s">
        <v>1285</v>
      </c>
      <c r="J129" s="45">
        <v>2</v>
      </c>
    </row>
    <row r="130" spans="1:10" s="34" customFormat="1">
      <c r="A130" s="44">
        <v>16</v>
      </c>
      <c r="B130" s="113" t="s">
        <v>1586</v>
      </c>
      <c r="C130" s="114">
        <v>5</v>
      </c>
      <c r="D130" s="113" t="s">
        <v>1621</v>
      </c>
      <c r="E130" s="108" t="s">
        <v>1178</v>
      </c>
      <c r="F130" s="49">
        <v>23</v>
      </c>
      <c r="G130" s="113" t="s">
        <v>1014</v>
      </c>
      <c r="H130" s="137" t="s">
        <v>1254</v>
      </c>
      <c r="I130" s="137" t="s">
        <v>1285</v>
      </c>
      <c r="J130" s="45">
        <v>2</v>
      </c>
    </row>
    <row r="131" spans="1:10" s="34" customFormat="1">
      <c r="A131" s="115">
        <v>285</v>
      </c>
      <c r="B131" s="116" t="s">
        <v>1586</v>
      </c>
      <c r="C131" s="117">
        <v>5</v>
      </c>
      <c r="D131" s="116" t="s">
        <v>1667</v>
      </c>
      <c r="E131" s="108" t="s">
        <v>1346</v>
      </c>
      <c r="F131" s="49">
        <v>23</v>
      </c>
      <c r="G131" s="116" t="s">
        <v>967</v>
      </c>
      <c r="H131" s="137" t="s">
        <v>1254</v>
      </c>
      <c r="I131" s="137" t="s">
        <v>1285</v>
      </c>
      <c r="J131" s="45">
        <v>2</v>
      </c>
    </row>
    <row r="132" spans="1:10" s="34" customFormat="1">
      <c r="A132" s="138">
        <v>186</v>
      </c>
      <c r="B132" s="153" t="s">
        <v>951</v>
      </c>
      <c r="C132" s="192">
        <v>1</v>
      </c>
      <c r="D132" s="153" t="s">
        <v>1645</v>
      </c>
      <c r="E132" s="193" t="s">
        <v>1285</v>
      </c>
      <c r="F132" s="194">
        <v>24</v>
      </c>
      <c r="G132" s="153" t="s">
        <v>587</v>
      </c>
      <c r="H132" s="195" t="s">
        <v>1236</v>
      </c>
      <c r="I132" s="195" t="s">
        <v>1237</v>
      </c>
      <c r="J132" s="45">
        <v>1</v>
      </c>
    </row>
    <row r="133" spans="1:10" s="34" customFormat="1">
      <c r="A133" s="138">
        <v>81</v>
      </c>
      <c r="B133" s="139" t="s">
        <v>951</v>
      </c>
      <c r="C133" s="140">
        <v>2</v>
      </c>
      <c r="D133" s="139" t="s">
        <v>1557</v>
      </c>
      <c r="E133" s="141" t="s">
        <v>1220</v>
      </c>
      <c r="F133" s="143">
        <v>24</v>
      </c>
      <c r="G133" s="139" t="s">
        <v>977</v>
      </c>
      <c r="H133" s="142" t="s">
        <v>1236</v>
      </c>
      <c r="I133" s="142" t="s">
        <v>1237</v>
      </c>
      <c r="J133" s="45">
        <v>1</v>
      </c>
    </row>
    <row r="134" spans="1:10" s="34" customFormat="1">
      <c r="A134" s="138">
        <v>164</v>
      </c>
      <c r="B134" s="139" t="s">
        <v>951</v>
      </c>
      <c r="C134" s="140">
        <v>4</v>
      </c>
      <c r="D134" s="139" t="s">
        <v>1561</v>
      </c>
      <c r="E134" s="141" t="s">
        <v>1271</v>
      </c>
      <c r="F134" s="143">
        <v>24</v>
      </c>
      <c r="G134" s="139" t="s">
        <v>968</v>
      </c>
      <c r="H134" s="142" t="s">
        <v>1236</v>
      </c>
      <c r="I134" s="142" t="s">
        <v>1237</v>
      </c>
      <c r="J134" s="45">
        <v>1</v>
      </c>
    </row>
    <row r="135" spans="1:10" s="34" customFormat="1">
      <c r="A135" s="138">
        <v>285</v>
      </c>
      <c r="B135" s="139" t="s">
        <v>951</v>
      </c>
      <c r="C135" s="140">
        <v>4</v>
      </c>
      <c r="D135" s="139" t="s">
        <v>1667</v>
      </c>
      <c r="E135" s="141" t="s">
        <v>1346</v>
      </c>
      <c r="F135" s="143">
        <v>24</v>
      </c>
      <c r="G135" s="139" t="s">
        <v>967</v>
      </c>
      <c r="H135" s="142" t="s">
        <v>1236</v>
      </c>
      <c r="I135" s="142" t="s">
        <v>1237</v>
      </c>
      <c r="J135" s="45">
        <v>1</v>
      </c>
    </row>
    <row r="136" spans="1:10" s="34" customFormat="1">
      <c r="A136" s="138">
        <v>87</v>
      </c>
      <c r="B136" s="139" t="s">
        <v>951</v>
      </c>
      <c r="C136" s="140">
        <v>5</v>
      </c>
      <c r="D136" s="139" t="s">
        <v>1635</v>
      </c>
      <c r="E136" s="141" t="s">
        <v>1225</v>
      </c>
      <c r="F136" s="143">
        <v>24</v>
      </c>
      <c r="G136" s="139" t="s">
        <v>1000</v>
      </c>
      <c r="H136" s="142" t="s">
        <v>1236</v>
      </c>
      <c r="I136" s="142" t="s">
        <v>1237</v>
      </c>
      <c r="J136" s="45">
        <v>1</v>
      </c>
    </row>
    <row r="137" spans="1:10" s="34" customFormat="1">
      <c r="A137" s="44">
        <v>70</v>
      </c>
      <c r="B137" s="113" t="s">
        <v>550</v>
      </c>
      <c r="C137" s="114">
        <v>2</v>
      </c>
      <c r="D137" s="113" t="s">
        <v>1555</v>
      </c>
      <c r="E137" s="108" t="s">
        <v>1213</v>
      </c>
      <c r="F137" s="49">
        <v>25</v>
      </c>
      <c r="G137" s="113" t="s">
        <v>587</v>
      </c>
      <c r="H137" s="137" t="s">
        <v>1236</v>
      </c>
      <c r="I137" s="137" t="s">
        <v>1233</v>
      </c>
      <c r="J137" s="45">
        <v>2</v>
      </c>
    </row>
    <row r="138" spans="1:10" s="34" customFormat="1">
      <c r="A138" s="138">
        <v>2</v>
      </c>
      <c r="B138" s="153" t="s">
        <v>1573</v>
      </c>
      <c r="C138" s="192">
        <v>1</v>
      </c>
      <c r="D138" s="153" t="s">
        <v>1619</v>
      </c>
      <c r="E138" s="193" t="s">
        <v>1173</v>
      </c>
      <c r="F138" s="194">
        <v>26</v>
      </c>
      <c r="G138" s="153" t="s">
        <v>974</v>
      </c>
      <c r="H138" s="195" t="s">
        <v>1192</v>
      </c>
      <c r="I138" s="195" t="s">
        <v>1273</v>
      </c>
      <c r="J138" s="45">
        <v>1</v>
      </c>
    </row>
    <row r="139" spans="1:10" s="34" customFormat="1">
      <c r="A139" s="138">
        <v>40</v>
      </c>
      <c r="B139" s="153" t="s">
        <v>1573</v>
      </c>
      <c r="C139" s="192">
        <v>1</v>
      </c>
      <c r="D139" s="153" t="s">
        <v>1564</v>
      </c>
      <c r="E139" s="193" t="s">
        <v>1192</v>
      </c>
      <c r="F139" s="194">
        <v>26</v>
      </c>
      <c r="G139" s="153" t="s">
        <v>974</v>
      </c>
      <c r="H139" s="195" t="s">
        <v>1192</v>
      </c>
      <c r="I139" s="195" t="s">
        <v>1273</v>
      </c>
      <c r="J139" s="45">
        <v>1</v>
      </c>
    </row>
    <row r="140" spans="1:10" s="34" customFormat="1">
      <c r="A140" s="138">
        <v>49</v>
      </c>
      <c r="B140" s="153" t="s">
        <v>1573</v>
      </c>
      <c r="C140" s="192">
        <v>1</v>
      </c>
      <c r="D140" s="153" t="s">
        <v>1625</v>
      </c>
      <c r="E140" s="193" t="s">
        <v>1200</v>
      </c>
      <c r="F140" s="194">
        <v>26</v>
      </c>
      <c r="G140" s="153" t="s">
        <v>605</v>
      </c>
      <c r="H140" s="195" t="s">
        <v>1192</v>
      </c>
      <c r="I140" s="195" t="s">
        <v>1273</v>
      </c>
      <c r="J140" s="45">
        <v>1</v>
      </c>
    </row>
    <row r="141" spans="1:10" s="34" customFormat="1">
      <c r="A141" s="138">
        <v>64</v>
      </c>
      <c r="B141" s="153" t="s">
        <v>1573</v>
      </c>
      <c r="C141" s="192">
        <v>1</v>
      </c>
      <c r="D141" s="153" t="s">
        <v>1555</v>
      </c>
      <c r="E141" s="193" t="s">
        <v>1208</v>
      </c>
      <c r="F141" s="194">
        <v>26</v>
      </c>
      <c r="G141" s="153" t="s">
        <v>600</v>
      </c>
      <c r="H141" s="195" t="s">
        <v>1192</v>
      </c>
      <c r="I141" s="195" t="s">
        <v>1273</v>
      </c>
      <c r="J141" s="45">
        <v>1</v>
      </c>
    </row>
    <row r="142" spans="1:10" s="34" customFormat="1">
      <c r="A142" s="138">
        <v>90</v>
      </c>
      <c r="B142" s="153" t="s">
        <v>1573</v>
      </c>
      <c r="C142" s="192">
        <v>1</v>
      </c>
      <c r="D142" s="153" t="s">
        <v>1636</v>
      </c>
      <c r="E142" s="193" t="s">
        <v>1228</v>
      </c>
      <c r="F142" s="194">
        <v>26</v>
      </c>
      <c r="G142" s="153" t="s">
        <v>600</v>
      </c>
      <c r="H142" s="195" t="s">
        <v>1192</v>
      </c>
      <c r="I142" s="195" t="s">
        <v>1273</v>
      </c>
      <c r="J142" s="45">
        <v>1</v>
      </c>
    </row>
    <row r="143" spans="1:10" s="34" customFormat="1">
      <c r="A143" s="138">
        <v>228</v>
      </c>
      <c r="B143" s="153" t="s">
        <v>1573</v>
      </c>
      <c r="C143" s="192">
        <v>1</v>
      </c>
      <c r="D143" s="153" t="s">
        <v>1653</v>
      </c>
      <c r="E143" s="193" t="s">
        <v>1309</v>
      </c>
      <c r="F143" s="194">
        <v>26</v>
      </c>
      <c r="G143" s="153" t="s">
        <v>1026</v>
      </c>
      <c r="H143" s="195" t="s">
        <v>1192</v>
      </c>
      <c r="I143" s="195" t="s">
        <v>1273</v>
      </c>
      <c r="J143" s="45">
        <v>1</v>
      </c>
    </row>
    <row r="144" spans="1:10" s="34" customFormat="1">
      <c r="A144" s="138">
        <v>74</v>
      </c>
      <c r="B144" s="139" t="s">
        <v>1573</v>
      </c>
      <c r="C144" s="140">
        <v>2</v>
      </c>
      <c r="D144" s="139" t="s">
        <v>1632</v>
      </c>
      <c r="E144" s="141" t="s">
        <v>1215</v>
      </c>
      <c r="F144" s="143">
        <v>26</v>
      </c>
      <c r="G144" s="139" t="s">
        <v>974</v>
      </c>
      <c r="H144" s="142" t="s">
        <v>1192</v>
      </c>
      <c r="I144" s="142" t="s">
        <v>1273</v>
      </c>
      <c r="J144" s="45">
        <v>1</v>
      </c>
    </row>
    <row r="145" spans="1:10" s="34" customFormat="1">
      <c r="A145" s="138">
        <v>99</v>
      </c>
      <c r="B145" s="139" t="s">
        <v>1573</v>
      </c>
      <c r="C145" s="140">
        <v>2</v>
      </c>
      <c r="D145" s="139" t="s">
        <v>1638</v>
      </c>
      <c r="E145" s="141" t="s">
        <v>1233</v>
      </c>
      <c r="F145" s="143">
        <v>26</v>
      </c>
      <c r="G145" s="139" t="s">
        <v>1010</v>
      </c>
      <c r="H145" s="142" t="s">
        <v>1192</v>
      </c>
      <c r="I145" s="142" t="s">
        <v>1273</v>
      </c>
      <c r="J145" s="45">
        <v>1</v>
      </c>
    </row>
    <row r="146" spans="1:10" s="34" customFormat="1">
      <c r="A146" s="138">
        <v>261</v>
      </c>
      <c r="B146" s="139" t="s">
        <v>1573</v>
      </c>
      <c r="C146" s="140">
        <v>2</v>
      </c>
      <c r="D146" s="139" t="s">
        <v>1664</v>
      </c>
      <c r="E146" s="141" t="s">
        <v>1333</v>
      </c>
      <c r="F146" s="143">
        <v>26</v>
      </c>
      <c r="G146" s="139" t="s">
        <v>589</v>
      </c>
      <c r="H146" s="142" t="s">
        <v>1192</v>
      </c>
      <c r="I146" s="142" t="s">
        <v>1273</v>
      </c>
      <c r="J146" s="45">
        <v>1</v>
      </c>
    </row>
    <row r="147" spans="1:10" s="34" customFormat="1">
      <c r="A147" s="138">
        <v>271</v>
      </c>
      <c r="B147" s="139" t="s">
        <v>1573</v>
      </c>
      <c r="C147" s="140">
        <v>2</v>
      </c>
      <c r="D147" s="139" t="s">
        <v>1665</v>
      </c>
      <c r="E147" s="141" t="s">
        <v>1337</v>
      </c>
      <c r="F147" s="143">
        <v>26</v>
      </c>
      <c r="G147" s="139" t="s">
        <v>593</v>
      </c>
      <c r="H147" s="142" t="s">
        <v>1192</v>
      </c>
      <c r="I147" s="142" t="s">
        <v>1273</v>
      </c>
      <c r="J147" s="45">
        <v>1</v>
      </c>
    </row>
    <row r="148" spans="1:10" s="34" customFormat="1">
      <c r="A148" s="138">
        <v>16</v>
      </c>
      <c r="B148" s="139" t="s">
        <v>1573</v>
      </c>
      <c r="C148" s="140">
        <v>3</v>
      </c>
      <c r="D148" s="139" t="s">
        <v>1621</v>
      </c>
      <c r="E148" s="141" t="s">
        <v>1178</v>
      </c>
      <c r="F148" s="143">
        <v>26</v>
      </c>
      <c r="G148" s="139" t="s">
        <v>1014</v>
      </c>
      <c r="H148" s="142" t="s">
        <v>1192</v>
      </c>
      <c r="I148" s="142" t="s">
        <v>1273</v>
      </c>
      <c r="J148" s="45">
        <v>1</v>
      </c>
    </row>
    <row r="149" spans="1:10" s="34" customFormat="1">
      <c r="A149" s="138">
        <v>71</v>
      </c>
      <c r="B149" s="139" t="s">
        <v>1573</v>
      </c>
      <c r="C149" s="140">
        <v>3</v>
      </c>
      <c r="D149" s="139" t="s">
        <v>1631</v>
      </c>
      <c r="E149" s="141" t="s">
        <v>1214</v>
      </c>
      <c r="F149" s="143">
        <v>26</v>
      </c>
      <c r="G149" s="139" t="s">
        <v>1034</v>
      </c>
      <c r="H149" s="142" t="s">
        <v>1192</v>
      </c>
      <c r="I149" s="142" t="s">
        <v>1273</v>
      </c>
      <c r="J149" s="45">
        <v>1</v>
      </c>
    </row>
    <row r="150" spans="1:10" s="34" customFormat="1">
      <c r="A150" s="138">
        <v>207</v>
      </c>
      <c r="B150" s="139" t="s">
        <v>1573</v>
      </c>
      <c r="C150" s="140">
        <v>3</v>
      </c>
      <c r="D150" s="139" t="s">
        <v>1649</v>
      </c>
      <c r="E150" s="141" t="s">
        <v>1296</v>
      </c>
      <c r="F150" s="143">
        <v>26</v>
      </c>
      <c r="G150" s="139" t="s">
        <v>603</v>
      </c>
      <c r="H150" s="142" t="s">
        <v>1192</v>
      </c>
      <c r="I150" s="142" t="s">
        <v>1273</v>
      </c>
      <c r="J150" s="45">
        <v>1</v>
      </c>
    </row>
    <row r="151" spans="1:10" s="34" customFormat="1">
      <c r="A151" s="138">
        <v>35</v>
      </c>
      <c r="B151" s="139" t="s">
        <v>1573</v>
      </c>
      <c r="C151" s="196">
        <v>4</v>
      </c>
      <c r="D151" s="189" t="s">
        <v>1567</v>
      </c>
      <c r="E151" s="190" t="s">
        <v>1188</v>
      </c>
      <c r="F151" s="191">
        <v>26</v>
      </c>
      <c r="G151" s="189" t="s">
        <v>587</v>
      </c>
      <c r="H151" s="142" t="s">
        <v>1192</v>
      </c>
      <c r="I151" s="142" t="s">
        <v>1273</v>
      </c>
      <c r="J151" s="45">
        <v>1</v>
      </c>
    </row>
    <row r="152" spans="1:10" s="34" customFormat="1">
      <c r="A152" s="138">
        <v>192</v>
      </c>
      <c r="B152" s="139" t="s">
        <v>1573</v>
      </c>
      <c r="C152" s="140">
        <v>4</v>
      </c>
      <c r="D152" s="139" t="s">
        <v>1646</v>
      </c>
      <c r="E152" s="141" t="s">
        <v>1287</v>
      </c>
      <c r="F152" s="143">
        <v>26</v>
      </c>
      <c r="G152" s="139" t="s">
        <v>995</v>
      </c>
      <c r="H152" s="142" t="s">
        <v>1192</v>
      </c>
      <c r="I152" s="142" t="s">
        <v>1273</v>
      </c>
      <c r="J152" s="45">
        <v>1</v>
      </c>
    </row>
    <row r="153" spans="1:10" s="34" customFormat="1">
      <c r="A153" s="138">
        <v>235</v>
      </c>
      <c r="B153" s="139" t="s">
        <v>1573</v>
      </c>
      <c r="C153" s="140">
        <v>4</v>
      </c>
      <c r="D153" s="139" t="s">
        <v>1655</v>
      </c>
      <c r="E153" s="141" t="s">
        <v>1315</v>
      </c>
      <c r="F153" s="143">
        <v>26</v>
      </c>
      <c r="G153" s="139" t="s">
        <v>991</v>
      </c>
      <c r="H153" s="142" t="s">
        <v>1192</v>
      </c>
      <c r="I153" s="142" t="s">
        <v>1273</v>
      </c>
      <c r="J153" s="45">
        <v>1</v>
      </c>
    </row>
    <row r="154" spans="1:10" s="34" customFormat="1">
      <c r="A154" s="138">
        <v>262</v>
      </c>
      <c r="B154" s="139" t="s">
        <v>1573</v>
      </c>
      <c r="C154" s="140">
        <v>4</v>
      </c>
      <c r="D154" s="139" t="s">
        <v>1664</v>
      </c>
      <c r="E154" s="141" t="s">
        <v>1334</v>
      </c>
      <c r="F154" s="143">
        <v>26</v>
      </c>
      <c r="G154" s="139" t="s">
        <v>595</v>
      </c>
      <c r="H154" s="142" t="s">
        <v>1192</v>
      </c>
      <c r="I154" s="142" t="s">
        <v>1273</v>
      </c>
      <c r="J154" s="45">
        <v>1</v>
      </c>
    </row>
    <row r="155" spans="1:10" s="34" customFormat="1">
      <c r="A155" s="138">
        <v>199</v>
      </c>
      <c r="B155" s="139" t="s">
        <v>1573</v>
      </c>
      <c r="C155" s="140">
        <v>5</v>
      </c>
      <c r="D155" s="139" t="s">
        <v>1648</v>
      </c>
      <c r="E155" s="141" t="s">
        <v>1293</v>
      </c>
      <c r="F155" s="143">
        <v>26</v>
      </c>
      <c r="G155" s="139" t="s">
        <v>973</v>
      </c>
      <c r="H155" s="142" t="s">
        <v>1192</v>
      </c>
      <c r="I155" s="142" t="s">
        <v>1273</v>
      </c>
      <c r="J155" s="45">
        <v>1</v>
      </c>
    </row>
    <row r="156" spans="1:10" s="34" customFormat="1">
      <c r="A156" s="44">
        <v>59</v>
      </c>
      <c r="B156" s="152" t="s">
        <v>569</v>
      </c>
      <c r="C156" s="186">
        <v>1</v>
      </c>
      <c r="D156" s="152" t="s">
        <v>1630</v>
      </c>
      <c r="E156" s="155" t="s">
        <v>1205</v>
      </c>
      <c r="F156" s="187">
        <v>27</v>
      </c>
      <c r="G156" s="152" t="s">
        <v>1032</v>
      </c>
      <c r="H156" s="137" t="s">
        <v>1186</v>
      </c>
      <c r="I156" s="137" t="s">
        <v>1186</v>
      </c>
      <c r="J156" s="45">
        <v>2</v>
      </c>
    </row>
    <row r="157" spans="1:10" s="34" customFormat="1">
      <c r="A157" s="44">
        <v>61</v>
      </c>
      <c r="B157" s="152" t="s">
        <v>569</v>
      </c>
      <c r="C157" s="186">
        <v>1</v>
      </c>
      <c r="D157" s="152" t="s">
        <v>1555</v>
      </c>
      <c r="E157" s="155" t="s">
        <v>1206</v>
      </c>
      <c r="F157" s="187">
        <v>27</v>
      </c>
      <c r="G157" s="152" t="s">
        <v>601</v>
      </c>
      <c r="H157" s="137" t="s">
        <v>1186</v>
      </c>
      <c r="I157" s="137" t="s">
        <v>1186</v>
      </c>
      <c r="J157" s="45">
        <v>2</v>
      </c>
    </row>
    <row r="158" spans="1:10" s="34" customFormat="1">
      <c r="A158" s="44">
        <v>198</v>
      </c>
      <c r="B158" s="152" t="s">
        <v>569</v>
      </c>
      <c r="C158" s="186">
        <v>1</v>
      </c>
      <c r="D158" s="152" t="s">
        <v>1648</v>
      </c>
      <c r="E158" s="155" t="s">
        <v>1292</v>
      </c>
      <c r="F158" s="187">
        <v>27</v>
      </c>
      <c r="G158" s="152" t="s">
        <v>1012</v>
      </c>
      <c r="H158" s="137" t="s">
        <v>1186</v>
      </c>
      <c r="I158" s="137" t="s">
        <v>1186</v>
      </c>
      <c r="J158" s="45">
        <v>2</v>
      </c>
    </row>
    <row r="159" spans="1:10" s="34" customFormat="1">
      <c r="A159" s="44">
        <v>218</v>
      </c>
      <c r="B159" s="152" t="s">
        <v>569</v>
      </c>
      <c r="C159" s="186">
        <v>1</v>
      </c>
      <c r="D159" s="152" t="s">
        <v>1651</v>
      </c>
      <c r="E159" s="155" t="s">
        <v>1305</v>
      </c>
      <c r="F159" s="187">
        <v>27</v>
      </c>
      <c r="G159" s="152" t="s">
        <v>590</v>
      </c>
      <c r="H159" s="137" t="s">
        <v>1186</v>
      </c>
      <c r="I159" s="137" t="s">
        <v>1186</v>
      </c>
      <c r="J159" s="45">
        <v>2</v>
      </c>
    </row>
    <row r="160" spans="1:10" s="34" customFormat="1">
      <c r="A160" s="44">
        <v>241</v>
      </c>
      <c r="B160" s="152" t="s">
        <v>569</v>
      </c>
      <c r="C160" s="186">
        <v>1</v>
      </c>
      <c r="D160" s="152" t="s">
        <v>1658</v>
      </c>
      <c r="E160" s="155" t="s">
        <v>1321</v>
      </c>
      <c r="F160" s="187">
        <v>27</v>
      </c>
      <c r="G160" s="152" t="s">
        <v>594</v>
      </c>
      <c r="H160" s="137" t="s">
        <v>1186</v>
      </c>
      <c r="I160" s="137" t="s">
        <v>1186</v>
      </c>
      <c r="J160" s="45">
        <v>2</v>
      </c>
    </row>
    <row r="161" spans="1:10" s="34" customFormat="1">
      <c r="A161" s="115">
        <v>284</v>
      </c>
      <c r="B161" s="154" t="s">
        <v>569</v>
      </c>
      <c r="C161" s="197">
        <v>1</v>
      </c>
      <c r="D161" s="154" t="s">
        <v>1667</v>
      </c>
      <c r="E161" s="155" t="s">
        <v>1345</v>
      </c>
      <c r="F161" s="187">
        <v>27</v>
      </c>
      <c r="G161" s="154" t="s">
        <v>988</v>
      </c>
      <c r="H161" s="137" t="s">
        <v>1186</v>
      </c>
      <c r="I161" s="137" t="s">
        <v>1186</v>
      </c>
      <c r="J161" s="45">
        <v>2</v>
      </c>
    </row>
    <row r="162" spans="1:10" s="34" customFormat="1">
      <c r="A162" s="44">
        <v>56</v>
      </c>
      <c r="B162" s="113" t="s">
        <v>569</v>
      </c>
      <c r="C162" s="114">
        <v>2</v>
      </c>
      <c r="D162" s="113" t="s">
        <v>1629</v>
      </c>
      <c r="E162" s="108" t="s">
        <v>1203</v>
      </c>
      <c r="F162" s="49">
        <v>27</v>
      </c>
      <c r="G162" s="113" t="s">
        <v>587</v>
      </c>
      <c r="H162" s="137" t="s">
        <v>1186</v>
      </c>
      <c r="I162" s="137" t="s">
        <v>1186</v>
      </c>
      <c r="J162" s="45">
        <v>2</v>
      </c>
    </row>
    <row r="163" spans="1:10" s="34" customFormat="1">
      <c r="A163" s="44">
        <v>64</v>
      </c>
      <c r="B163" s="113" t="s">
        <v>569</v>
      </c>
      <c r="C163" s="114">
        <v>2</v>
      </c>
      <c r="D163" s="113" t="s">
        <v>1555</v>
      </c>
      <c r="E163" s="108" t="s">
        <v>1208</v>
      </c>
      <c r="F163" s="49">
        <v>27</v>
      </c>
      <c r="G163" s="113" t="s">
        <v>600</v>
      </c>
      <c r="H163" s="137" t="s">
        <v>1186</v>
      </c>
      <c r="I163" s="137" t="s">
        <v>1186</v>
      </c>
      <c r="J163" s="45">
        <v>2</v>
      </c>
    </row>
    <row r="164" spans="1:10" s="34" customFormat="1">
      <c r="A164" s="44">
        <v>228</v>
      </c>
      <c r="B164" s="113" t="s">
        <v>569</v>
      </c>
      <c r="C164" s="114">
        <v>2</v>
      </c>
      <c r="D164" s="113" t="s">
        <v>1653</v>
      </c>
      <c r="E164" s="108" t="s">
        <v>1309</v>
      </c>
      <c r="F164" s="49">
        <v>27</v>
      </c>
      <c r="G164" s="113" t="s">
        <v>1026</v>
      </c>
      <c r="H164" s="137" t="s">
        <v>1186</v>
      </c>
      <c r="I164" s="137" t="s">
        <v>1186</v>
      </c>
      <c r="J164" s="45">
        <v>2</v>
      </c>
    </row>
    <row r="165" spans="1:10" s="34" customFormat="1">
      <c r="A165" s="44">
        <v>42</v>
      </c>
      <c r="B165" s="113" t="s">
        <v>569</v>
      </c>
      <c r="C165" s="114">
        <v>3</v>
      </c>
      <c r="D165" s="113" t="s">
        <v>1564</v>
      </c>
      <c r="E165" s="108" t="s">
        <v>1194</v>
      </c>
      <c r="F165" s="49">
        <v>27</v>
      </c>
      <c r="G165" s="113" t="s">
        <v>600</v>
      </c>
      <c r="H165" s="137" t="s">
        <v>1186</v>
      </c>
      <c r="I165" s="137" t="s">
        <v>1186</v>
      </c>
      <c r="J165" s="45">
        <v>2</v>
      </c>
    </row>
    <row r="166" spans="1:10" s="34" customFormat="1">
      <c r="A166" s="44">
        <v>74</v>
      </c>
      <c r="B166" s="113" t="s">
        <v>569</v>
      </c>
      <c r="C166" s="114">
        <v>3</v>
      </c>
      <c r="D166" s="113" t="s">
        <v>1632</v>
      </c>
      <c r="E166" s="108" t="s">
        <v>1215</v>
      </c>
      <c r="F166" s="49">
        <v>27</v>
      </c>
      <c r="G166" s="113" t="s">
        <v>974</v>
      </c>
      <c r="H166" s="137" t="s">
        <v>1186</v>
      </c>
      <c r="I166" s="137" t="s">
        <v>1186</v>
      </c>
      <c r="J166" s="45">
        <v>2</v>
      </c>
    </row>
    <row r="167" spans="1:10" s="34" customFormat="1">
      <c r="A167" s="44">
        <v>257</v>
      </c>
      <c r="B167" s="113" t="s">
        <v>569</v>
      </c>
      <c r="C167" s="114">
        <v>3</v>
      </c>
      <c r="D167" s="113" t="s">
        <v>1663</v>
      </c>
      <c r="E167" s="108" t="s">
        <v>1330</v>
      </c>
      <c r="F167" s="49">
        <v>27</v>
      </c>
      <c r="G167" s="113" t="s">
        <v>602</v>
      </c>
      <c r="H167" s="137" t="s">
        <v>1186</v>
      </c>
      <c r="I167" s="137" t="s">
        <v>1186</v>
      </c>
      <c r="J167" s="45">
        <v>2</v>
      </c>
    </row>
    <row r="168" spans="1:10" s="34" customFormat="1">
      <c r="A168" s="44">
        <v>183</v>
      </c>
      <c r="B168" s="113" t="s">
        <v>569</v>
      </c>
      <c r="C168" s="114">
        <v>4</v>
      </c>
      <c r="D168" s="113" t="s">
        <v>1644</v>
      </c>
      <c r="E168" s="108" t="s">
        <v>1284</v>
      </c>
      <c r="F168" s="49">
        <v>27</v>
      </c>
      <c r="G168" s="113" t="s">
        <v>587</v>
      </c>
      <c r="H168" s="137" t="s">
        <v>1186</v>
      </c>
      <c r="I168" s="137" t="s">
        <v>1186</v>
      </c>
      <c r="J168" s="45">
        <v>2</v>
      </c>
    </row>
    <row r="169" spans="1:10" s="34" customFormat="1">
      <c r="A169" s="115">
        <v>290</v>
      </c>
      <c r="B169" s="116" t="s">
        <v>569</v>
      </c>
      <c r="C169" s="117">
        <v>5</v>
      </c>
      <c r="D169" s="116" t="s">
        <v>1668</v>
      </c>
      <c r="E169" s="108" t="s">
        <v>1349</v>
      </c>
      <c r="F169" s="49">
        <v>27</v>
      </c>
      <c r="G169" s="116" t="s">
        <v>1019</v>
      </c>
      <c r="H169" s="137" t="s">
        <v>1186</v>
      </c>
      <c r="I169" s="137" t="s">
        <v>1186</v>
      </c>
      <c r="J169" s="45">
        <v>2</v>
      </c>
    </row>
    <row r="170" spans="1:10" s="34" customFormat="1">
      <c r="A170" s="138">
        <v>38</v>
      </c>
      <c r="B170" s="153" t="s">
        <v>570</v>
      </c>
      <c r="C170" s="192">
        <v>1</v>
      </c>
      <c r="D170" s="153" t="s">
        <v>1623</v>
      </c>
      <c r="E170" s="193" t="s">
        <v>1190</v>
      </c>
      <c r="F170" s="194">
        <v>28</v>
      </c>
      <c r="G170" s="153" t="s">
        <v>587</v>
      </c>
      <c r="H170" s="195" t="s">
        <v>1243</v>
      </c>
      <c r="I170" s="195" t="s">
        <v>1205</v>
      </c>
      <c r="J170" s="45">
        <v>1</v>
      </c>
    </row>
    <row r="171" spans="1:10" s="34" customFormat="1">
      <c r="A171" s="138">
        <v>74</v>
      </c>
      <c r="B171" s="153" t="s">
        <v>570</v>
      </c>
      <c r="C171" s="192">
        <v>1</v>
      </c>
      <c r="D171" s="153" t="s">
        <v>1632</v>
      </c>
      <c r="E171" s="193" t="s">
        <v>1215</v>
      </c>
      <c r="F171" s="194">
        <v>28</v>
      </c>
      <c r="G171" s="153" t="s">
        <v>974</v>
      </c>
      <c r="H171" s="195" t="s">
        <v>1243</v>
      </c>
      <c r="I171" s="195" t="s">
        <v>1205</v>
      </c>
      <c r="J171" s="45">
        <v>1</v>
      </c>
    </row>
    <row r="172" spans="1:10" s="34" customFormat="1">
      <c r="A172" s="138">
        <v>105</v>
      </c>
      <c r="B172" s="153" t="s">
        <v>570</v>
      </c>
      <c r="C172" s="192">
        <v>1</v>
      </c>
      <c r="D172" s="153" t="s">
        <v>1551</v>
      </c>
      <c r="E172" s="193" t="s">
        <v>1237</v>
      </c>
      <c r="F172" s="194">
        <v>28</v>
      </c>
      <c r="G172" s="153" t="s">
        <v>1022</v>
      </c>
      <c r="H172" s="195" t="s">
        <v>1243</v>
      </c>
      <c r="I172" s="195" t="s">
        <v>1205</v>
      </c>
      <c r="J172" s="45">
        <v>1</v>
      </c>
    </row>
    <row r="173" spans="1:10" s="34" customFormat="1">
      <c r="A173" s="138">
        <v>112</v>
      </c>
      <c r="B173" s="153" t="s">
        <v>570</v>
      </c>
      <c r="C173" s="192">
        <v>1</v>
      </c>
      <c r="D173" s="153" t="s">
        <v>1639</v>
      </c>
      <c r="E173" s="193" t="s">
        <v>1243</v>
      </c>
      <c r="F173" s="194">
        <v>28</v>
      </c>
      <c r="G173" s="153" t="s">
        <v>1021</v>
      </c>
      <c r="H173" s="195" t="s">
        <v>1243</v>
      </c>
      <c r="I173" s="195" t="s">
        <v>1205</v>
      </c>
      <c r="J173" s="45">
        <v>1</v>
      </c>
    </row>
    <row r="174" spans="1:10" s="34" customFormat="1">
      <c r="A174" s="138">
        <v>137</v>
      </c>
      <c r="B174" s="153" t="s">
        <v>570</v>
      </c>
      <c r="C174" s="192">
        <v>1</v>
      </c>
      <c r="D174" s="153" t="s">
        <v>1553</v>
      </c>
      <c r="E174" s="193" t="s">
        <v>1257</v>
      </c>
      <c r="F174" s="194">
        <v>28</v>
      </c>
      <c r="G174" s="153" t="s">
        <v>1030</v>
      </c>
      <c r="H174" s="195" t="s">
        <v>1243</v>
      </c>
      <c r="I174" s="195" t="s">
        <v>1205</v>
      </c>
      <c r="J174" s="45">
        <v>1</v>
      </c>
    </row>
    <row r="175" spans="1:10" s="34" customFormat="1">
      <c r="A175" s="138">
        <v>179</v>
      </c>
      <c r="B175" s="153" t="s">
        <v>570</v>
      </c>
      <c r="C175" s="192">
        <v>1</v>
      </c>
      <c r="D175" s="153" t="s">
        <v>1643</v>
      </c>
      <c r="E175" s="193" t="s">
        <v>1281</v>
      </c>
      <c r="F175" s="194">
        <v>28</v>
      </c>
      <c r="G175" s="153" t="s">
        <v>587</v>
      </c>
      <c r="H175" s="195" t="s">
        <v>1243</v>
      </c>
      <c r="I175" s="195" t="s">
        <v>1205</v>
      </c>
      <c r="J175" s="45">
        <v>1</v>
      </c>
    </row>
    <row r="176" spans="1:10" s="34" customFormat="1">
      <c r="A176" s="138">
        <v>183</v>
      </c>
      <c r="B176" s="153" t="s">
        <v>570</v>
      </c>
      <c r="C176" s="192">
        <v>1</v>
      </c>
      <c r="D176" s="153" t="s">
        <v>1644</v>
      </c>
      <c r="E176" s="193" t="s">
        <v>1284</v>
      </c>
      <c r="F176" s="194">
        <v>28</v>
      </c>
      <c r="G176" s="153" t="s">
        <v>587</v>
      </c>
      <c r="H176" s="195" t="s">
        <v>1243</v>
      </c>
      <c r="I176" s="195" t="s">
        <v>1205</v>
      </c>
      <c r="J176" s="45">
        <v>1</v>
      </c>
    </row>
    <row r="177" spans="1:10" s="34" customFormat="1">
      <c r="A177" s="138">
        <v>192</v>
      </c>
      <c r="B177" s="153" t="s">
        <v>570</v>
      </c>
      <c r="C177" s="192">
        <v>1</v>
      </c>
      <c r="D177" s="153" t="s">
        <v>1646</v>
      </c>
      <c r="E177" s="193" t="s">
        <v>1287</v>
      </c>
      <c r="F177" s="194">
        <v>28</v>
      </c>
      <c r="G177" s="153" t="s">
        <v>995</v>
      </c>
      <c r="H177" s="195" t="s">
        <v>1243</v>
      </c>
      <c r="I177" s="195" t="s">
        <v>1205</v>
      </c>
      <c r="J177" s="45">
        <v>1</v>
      </c>
    </row>
    <row r="178" spans="1:10" s="34" customFormat="1">
      <c r="A178" s="138">
        <v>225</v>
      </c>
      <c r="B178" s="153" t="s">
        <v>570</v>
      </c>
      <c r="C178" s="192">
        <v>1</v>
      </c>
      <c r="D178" s="153" t="s">
        <v>1652</v>
      </c>
      <c r="E178" s="193" t="s">
        <v>1307</v>
      </c>
      <c r="F178" s="194">
        <v>28</v>
      </c>
      <c r="G178" s="153" t="s">
        <v>996</v>
      </c>
      <c r="H178" s="195" t="s">
        <v>1243</v>
      </c>
      <c r="I178" s="195" t="s">
        <v>1205</v>
      </c>
      <c r="J178" s="45">
        <v>1</v>
      </c>
    </row>
    <row r="179" spans="1:10" s="34" customFormat="1">
      <c r="A179" s="138">
        <v>47</v>
      </c>
      <c r="B179" s="139" t="s">
        <v>570</v>
      </c>
      <c r="C179" s="140">
        <v>2</v>
      </c>
      <c r="D179" s="139" t="s">
        <v>1624</v>
      </c>
      <c r="E179" s="141" t="s">
        <v>1199</v>
      </c>
      <c r="F179" s="143">
        <v>28</v>
      </c>
      <c r="G179" s="139" t="s">
        <v>587</v>
      </c>
      <c r="H179" s="142" t="s">
        <v>1243</v>
      </c>
      <c r="I179" s="142" t="s">
        <v>1205</v>
      </c>
      <c r="J179" s="45">
        <v>1</v>
      </c>
    </row>
    <row r="180" spans="1:10" s="34" customFormat="1">
      <c r="A180" s="138">
        <v>102</v>
      </c>
      <c r="B180" s="139" t="s">
        <v>570</v>
      </c>
      <c r="C180" s="140">
        <v>2</v>
      </c>
      <c r="D180" s="139" t="s">
        <v>18</v>
      </c>
      <c r="E180" s="141" t="s">
        <v>1428</v>
      </c>
      <c r="F180" s="143">
        <v>28</v>
      </c>
      <c r="G180" s="139" t="s">
        <v>1427</v>
      </c>
      <c r="H180" s="142" t="s">
        <v>1243</v>
      </c>
      <c r="I180" s="142" t="s">
        <v>1205</v>
      </c>
      <c r="J180" s="45">
        <v>1</v>
      </c>
    </row>
    <row r="181" spans="1:10" s="34" customFormat="1">
      <c r="A181" s="138">
        <v>233</v>
      </c>
      <c r="B181" s="139" t="s">
        <v>570</v>
      </c>
      <c r="C181" s="140">
        <v>2</v>
      </c>
      <c r="D181" s="139" t="s">
        <v>1654</v>
      </c>
      <c r="E181" s="141" t="s">
        <v>1313</v>
      </c>
      <c r="F181" s="143">
        <v>28</v>
      </c>
      <c r="G181" s="139" t="s">
        <v>975</v>
      </c>
      <c r="H181" s="142" t="s">
        <v>1243</v>
      </c>
      <c r="I181" s="142" t="s">
        <v>1205</v>
      </c>
      <c r="J181" s="45">
        <v>1</v>
      </c>
    </row>
    <row r="182" spans="1:10" s="34" customFormat="1">
      <c r="A182" s="138">
        <v>290</v>
      </c>
      <c r="B182" s="139" t="s">
        <v>570</v>
      </c>
      <c r="C182" s="140">
        <v>2</v>
      </c>
      <c r="D182" s="139" t="s">
        <v>1668</v>
      </c>
      <c r="E182" s="141" t="s">
        <v>1349</v>
      </c>
      <c r="F182" s="143">
        <v>28</v>
      </c>
      <c r="G182" s="139" t="s">
        <v>1019</v>
      </c>
      <c r="H182" s="142" t="s">
        <v>1243</v>
      </c>
      <c r="I182" s="142" t="s">
        <v>1205</v>
      </c>
      <c r="J182" s="45">
        <v>1</v>
      </c>
    </row>
    <row r="183" spans="1:10" s="34" customFormat="1">
      <c r="A183" s="138">
        <v>56</v>
      </c>
      <c r="B183" s="139" t="s">
        <v>570</v>
      </c>
      <c r="C183" s="140">
        <v>3</v>
      </c>
      <c r="D183" s="139" t="s">
        <v>1629</v>
      </c>
      <c r="E183" s="141" t="s">
        <v>1203</v>
      </c>
      <c r="F183" s="143">
        <v>28</v>
      </c>
      <c r="G183" s="139" t="s">
        <v>587</v>
      </c>
      <c r="H183" s="142" t="s">
        <v>1243</v>
      </c>
      <c r="I183" s="142" t="s">
        <v>1205</v>
      </c>
      <c r="J183" s="45">
        <v>1</v>
      </c>
    </row>
    <row r="184" spans="1:10" s="34" customFormat="1">
      <c r="A184" s="138">
        <v>63</v>
      </c>
      <c r="B184" s="139" t="s">
        <v>570</v>
      </c>
      <c r="C184" s="140">
        <v>3</v>
      </c>
      <c r="D184" s="139" t="s">
        <v>1555</v>
      </c>
      <c r="E184" s="141" t="s">
        <v>1207</v>
      </c>
      <c r="F184" s="143">
        <v>28</v>
      </c>
      <c r="G184" s="139" t="s">
        <v>598</v>
      </c>
      <c r="H184" s="142" t="s">
        <v>1243</v>
      </c>
      <c r="I184" s="142" t="s">
        <v>1205</v>
      </c>
      <c r="J184" s="45">
        <v>1</v>
      </c>
    </row>
    <row r="185" spans="1:10" s="34" customFormat="1">
      <c r="A185" s="138">
        <v>76</v>
      </c>
      <c r="B185" s="139" t="s">
        <v>570</v>
      </c>
      <c r="C185" s="140">
        <v>3</v>
      </c>
      <c r="D185" s="139" t="s">
        <v>1633</v>
      </c>
      <c r="E185" s="141" t="s">
        <v>1216</v>
      </c>
      <c r="F185" s="143">
        <v>28</v>
      </c>
      <c r="G185" s="139" t="s">
        <v>1005</v>
      </c>
      <c r="H185" s="142" t="s">
        <v>1243</v>
      </c>
      <c r="I185" s="142" t="s">
        <v>1205</v>
      </c>
      <c r="J185" s="45">
        <v>1</v>
      </c>
    </row>
    <row r="186" spans="1:10" s="34" customFormat="1">
      <c r="A186" s="138">
        <v>87</v>
      </c>
      <c r="B186" s="139" t="s">
        <v>570</v>
      </c>
      <c r="C186" s="140">
        <v>3</v>
      </c>
      <c r="D186" s="139" t="s">
        <v>1635</v>
      </c>
      <c r="E186" s="141" t="s">
        <v>1225</v>
      </c>
      <c r="F186" s="143">
        <v>28</v>
      </c>
      <c r="G186" s="139" t="s">
        <v>1000</v>
      </c>
      <c r="H186" s="142" t="s">
        <v>1243</v>
      </c>
      <c r="I186" s="142" t="s">
        <v>1205</v>
      </c>
      <c r="J186" s="45">
        <v>1</v>
      </c>
    </row>
    <row r="187" spans="1:10" s="34" customFormat="1">
      <c r="A187" s="138">
        <v>228</v>
      </c>
      <c r="B187" s="139" t="s">
        <v>570</v>
      </c>
      <c r="C187" s="140">
        <v>3</v>
      </c>
      <c r="D187" s="139" t="s">
        <v>1653</v>
      </c>
      <c r="E187" s="141" t="s">
        <v>1309</v>
      </c>
      <c r="F187" s="143">
        <v>28</v>
      </c>
      <c r="G187" s="139" t="s">
        <v>1026</v>
      </c>
      <c r="H187" s="142" t="s">
        <v>1243</v>
      </c>
      <c r="I187" s="142" t="s">
        <v>1205</v>
      </c>
      <c r="J187" s="45">
        <v>1</v>
      </c>
    </row>
    <row r="188" spans="1:10" s="34" customFormat="1">
      <c r="A188" s="138">
        <v>260</v>
      </c>
      <c r="B188" s="139" t="s">
        <v>570</v>
      </c>
      <c r="C188" s="140">
        <v>3</v>
      </c>
      <c r="D188" s="139" t="s">
        <v>1664</v>
      </c>
      <c r="E188" s="141" t="s">
        <v>1332</v>
      </c>
      <c r="F188" s="143">
        <v>28</v>
      </c>
      <c r="G188" s="139" t="s">
        <v>599</v>
      </c>
      <c r="H188" s="142" t="s">
        <v>1243</v>
      </c>
      <c r="I188" s="142" t="s">
        <v>1205</v>
      </c>
      <c r="J188" s="45">
        <v>1</v>
      </c>
    </row>
    <row r="189" spans="1:10" s="34" customFormat="1">
      <c r="A189" s="138">
        <v>42</v>
      </c>
      <c r="B189" s="139" t="s">
        <v>570</v>
      </c>
      <c r="C189" s="140">
        <v>4</v>
      </c>
      <c r="D189" s="139" t="s">
        <v>1564</v>
      </c>
      <c r="E189" s="141" t="s">
        <v>1194</v>
      </c>
      <c r="F189" s="143">
        <v>28</v>
      </c>
      <c r="G189" s="139" t="s">
        <v>600</v>
      </c>
      <c r="H189" s="142" t="s">
        <v>1243</v>
      </c>
      <c r="I189" s="142" t="s">
        <v>1205</v>
      </c>
      <c r="J189" s="45">
        <v>1</v>
      </c>
    </row>
    <row r="190" spans="1:10" s="34" customFormat="1">
      <c r="A190" s="138">
        <v>61</v>
      </c>
      <c r="B190" s="139" t="s">
        <v>570</v>
      </c>
      <c r="C190" s="140">
        <v>4</v>
      </c>
      <c r="D190" s="139" t="s">
        <v>1555</v>
      </c>
      <c r="E190" s="141" t="s">
        <v>1206</v>
      </c>
      <c r="F190" s="143">
        <v>28</v>
      </c>
      <c r="G190" s="139" t="s">
        <v>601</v>
      </c>
      <c r="H190" s="142" t="s">
        <v>1243</v>
      </c>
      <c r="I190" s="142" t="s">
        <v>1205</v>
      </c>
      <c r="J190" s="45">
        <v>1</v>
      </c>
    </row>
    <row r="191" spans="1:10" s="34" customFormat="1">
      <c r="A191" s="138">
        <v>67</v>
      </c>
      <c r="B191" s="139" t="s">
        <v>570</v>
      </c>
      <c r="C191" s="140">
        <v>4</v>
      </c>
      <c r="D191" s="139" t="s">
        <v>1555</v>
      </c>
      <c r="E191" s="141" t="s">
        <v>1210</v>
      </c>
      <c r="F191" s="143">
        <v>28</v>
      </c>
      <c r="G191" s="139" t="s">
        <v>986</v>
      </c>
      <c r="H191" s="142" t="s">
        <v>1243</v>
      </c>
      <c r="I191" s="142" t="s">
        <v>1205</v>
      </c>
      <c r="J191" s="45">
        <v>1</v>
      </c>
    </row>
    <row r="192" spans="1:10" s="34" customFormat="1">
      <c r="A192" s="138">
        <v>172</v>
      </c>
      <c r="B192" s="139" t="s">
        <v>570</v>
      </c>
      <c r="C192" s="140">
        <v>4</v>
      </c>
      <c r="D192" s="139" t="s">
        <v>1641</v>
      </c>
      <c r="E192" s="141" t="s">
        <v>1276</v>
      </c>
      <c r="F192" s="143">
        <v>28</v>
      </c>
      <c r="G192" s="139" t="s">
        <v>969</v>
      </c>
      <c r="H192" s="142" t="s">
        <v>1243</v>
      </c>
      <c r="I192" s="142" t="s">
        <v>1205</v>
      </c>
      <c r="J192" s="45">
        <v>1</v>
      </c>
    </row>
    <row r="193" spans="1:10" s="34" customFormat="1">
      <c r="A193" s="138">
        <v>207</v>
      </c>
      <c r="B193" s="139" t="s">
        <v>570</v>
      </c>
      <c r="C193" s="140">
        <v>5</v>
      </c>
      <c r="D193" s="139" t="s">
        <v>1649</v>
      </c>
      <c r="E193" s="141" t="s">
        <v>1296</v>
      </c>
      <c r="F193" s="143">
        <v>28</v>
      </c>
      <c r="G193" s="139" t="s">
        <v>603</v>
      </c>
      <c r="H193" s="142" t="s">
        <v>1243</v>
      </c>
      <c r="I193" s="142" t="s">
        <v>1205</v>
      </c>
      <c r="J193" s="45">
        <v>1</v>
      </c>
    </row>
    <row r="194" spans="1:10" s="34" customFormat="1">
      <c r="A194" s="138">
        <v>241</v>
      </c>
      <c r="B194" s="139" t="s">
        <v>570</v>
      </c>
      <c r="C194" s="140">
        <v>5</v>
      </c>
      <c r="D194" s="139" t="s">
        <v>1658</v>
      </c>
      <c r="E194" s="141" t="s">
        <v>1321</v>
      </c>
      <c r="F194" s="143">
        <v>28</v>
      </c>
      <c r="G194" s="139" t="s">
        <v>594</v>
      </c>
      <c r="H194" s="142" t="s">
        <v>1243</v>
      </c>
      <c r="I194" s="142" t="s">
        <v>1205</v>
      </c>
      <c r="J194" s="45">
        <v>1</v>
      </c>
    </row>
    <row r="195" spans="1:10" s="34" customFormat="1">
      <c r="A195" s="44">
        <v>22</v>
      </c>
      <c r="B195" s="113" t="s">
        <v>571</v>
      </c>
      <c r="C195" s="114">
        <v>2</v>
      </c>
      <c r="D195" s="113" t="s">
        <v>1622</v>
      </c>
      <c r="E195" s="108" t="s">
        <v>1180</v>
      </c>
      <c r="F195" s="49">
        <v>29</v>
      </c>
      <c r="G195" s="113" t="s">
        <v>590</v>
      </c>
      <c r="H195" s="137" t="s">
        <v>1211</v>
      </c>
      <c r="I195" s="137" t="s">
        <v>1215</v>
      </c>
      <c r="J195" s="45">
        <v>2</v>
      </c>
    </row>
    <row r="196" spans="1:10" s="34" customFormat="1">
      <c r="A196" s="115">
        <v>272</v>
      </c>
      <c r="B196" s="116" t="s">
        <v>571</v>
      </c>
      <c r="C196" s="117">
        <v>3</v>
      </c>
      <c r="D196" s="116" t="s">
        <v>1666</v>
      </c>
      <c r="E196" s="108" t="s">
        <v>1338</v>
      </c>
      <c r="F196" s="49">
        <v>29</v>
      </c>
      <c r="G196" s="116" t="s">
        <v>587</v>
      </c>
      <c r="H196" s="137" t="s">
        <v>1211</v>
      </c>
      <c r="I196" s="137" t="s">
        <v>1215</v>
      </c>
      <c r="J196" s="45">
        <v>2</v>
      </c>
    </row>
    <row r="197" spans="1:10" s="34" customFormat="1">
      <c r="A197" s="44">
        <v>74</v>
      </c>
      <c r="B197" s="113" t="s">
        <v>571</v>
      </c>
      <c r="C197" s="114">
        <v>4</v>
      </c>
      <c r="D197" s="113" t="s">
        <v>1632</v>
      </c>
      <c r="E197" s="108" t="s">
        <v>1215</v>
      </c>
      <c r="F197" s="49">
        <v>29</v>
      </c>
      <c r="G197" s="113" t="s">
        <v>974</v>
      </c>
      <c r="H197" s="137" t="s">
        <v>1211</v>
      </c>
      <c r="I197" s="137" t="s">
        <v>1215</v>
      </c>
      <c r="J197" s="45">
        <v>2</v>
      </c>
    </row>
    <row r="198" spans="1:10" s="34" customFormat="1">
      <c r="A198" s="44">
        <v>193</v>
      </c>
      <c r="B198" s="113" t="s">
        <v>571</v>
      </c>
      <c r="C198" s="114">
        <v>4</v>
      </c>
      <c r="D198" s="113" t="s">
        <v>1647</v>
      </c>
      <c r="E198" s="108" t="s">
        <v>1288</v>
      </c>
      <c r="F198" s="49">
        <v>29</v>
      </c>
      <c r="G198" s="113" t="s">
        <v>1015</v>
      </c>
      <c r="H198" s="137" t="s">
        <v>1211</v>
      </c>
      <c r="I198" s="137" t="s">
        <v>1215</v>
      </c>
      <c r="J198" s="45">
        <v>2</v>
      </c>
    </row>
    <row r="199" spans="1:10" s="34" customFormat="1">
      <c r="A199" s="44">
        <v>61</v>
      </c>
      <c r="B199" s="113" t="s">
        <v>571</v>
      </c>
      <c r="C199" s="114">
        <v>5</v>
      </c>
      <c r="D199" s="113" t="s">
        <v>1555</v>
      </c>
      <c r="E199" s="108" t="s">
        <v>1206</v>
      </c>
      <c r="F199" s="49">
        <v>29</v>
      </c>
      <c r="G199" s="113" t="s">
        <v>601</v>
      </c>
      <c r="H199" s="137" t="s">
        <v>1211</v>
      </c>
      <c r="I199" s="137" t="s">
        <v>1215</v>
      </c>
      <c r="J199" s="45">
        <v>2</v>
      </c>
    </row>
    <row r="200" spans="1:10" s="34" customFormat="1">
      <c r="A200" s="44">
        <v>248</v>
      </c>
      <c r="B200" s="113" t="s">
        <v>571</v>
      </c>
      <c r="C200" s="114">
        <v>5</v>
      </c>
      <c r="D200" s="113" t="s">
        <v>1660</v>
      </c>
      <c r="E200" s="108" t="s">
        <v>1325</v>
      </c>
      <c r="F200" s="49">
        <v>29</v>
      </c>
      <c r="G200" s="113" t="s">
        <v>975</v>
      </c>
      <c r="H200" s="137" t="s">
        <v>1211</v>
      </c>
      <c r="I200" s="137" t="s">
        <v>1215</v>
      </c>
      <c r="J200" s="45">
        <v>2</v>
      </c>
    </row>
    <row r="201" spans="1:10" s="34" customFormat="1">
      <c r="A201" s="138">
        <v>22</v>
      </c>
      <c r="B201" s="153" t="s">
        <v>572</v>
      </c>
      <c r="C201" s="192">
        <v>1</v>
      </c>
      <c r="D201" s="153" t="s">
        <v>1622</v>
      </c>
      <c r="E201" s="193" t="s">
        <v>1180</v>
      </c>
      <c r="F201" s="194">
        <v>30</v>
      </c>
      <c r="G201" s="153" t="s">
        <v>590</v>
      </c>
      <c r="H201" s="195" t="s">
        <v>1199</v>
      </c>
      <c r="I201" s="195" t="s">
        <v>1312</v>
      </c>
      <c r="J201" s="45">
        <v>1</v>
      </c>
    </row>
    <row r="202" spans="1:10" s="34" customFormat="1">
      <c r="A202" s="138">
        <v>211</v>
      </c>
      <c r="B202" s="139" t="s">
        <v>572</v>
      </c>
      <c r="C202" s="140">
        <v>2</v>
      </c>
      <c r="D202" s="139" t="s">
        <v>1649</v>
      </c>
      <c r="E202" s="141" t="s">
        <v>1300</v>
      </c>
      <c r="F202" s="143">
        <v>30</v>
      </c>
      <c r="G202" s="139" t="s">
        <v>587</v>
      </c>
      <c r="H202" s="142" t="s">
        <v>1199</v>
      </c>
      <c r="I202" s="142" t="s">
        <v>1312</v>
      </c>
      <c r="J202" s="45">
        <v>1</v>
      </c>
    </row>
    <row r="203" spans="1:10" s="34" customFormat="1">
      <c r="A203" s="138">
        <v>137</v>
      </c>
      <c r="B203" s="139" t="s">
        <v>572</v>
      </c>
      <c r="C203" s="140">
        <v>4</v>
      </c>
      <c r="D203" s="139" t="s">
        <v>1553</v>
      </c>
      <c r="E203" s="141" t="s">
        <v>1257</v>
      </c>
      <c r="F203" s="143">
        <v>30</v>
      </c>
      <c r="G203" s="139" t="s">
        <v>1030</v>
      </c>
      <c r="H203" s="142" t="s">
        <v>1199</v>
      </c>
      <c r="I203" s="142" t="s">
        <v>1312</v>
      </c>
      <c r="J203" s="45">
        <v>1</v>
      </c>
    </row>
    <row r="204" spans="1:10" s="34" customFormat="1">
      <c r="A204" s="44">
        <v>30</v>
      </c>
      <c r="B204" s="152" t="s">
        <v>1590</v>
      </c>
      <c r="C204" s="186">
        <v>1</v>
      </c>
      <c r="D204" s="152" t="s">
        <v>1622</v>
      </c>
      <c r="E204" s="155" t="s">
        <v>1184</v>
      </c>
      <c r="F204" s="187">
        <v>31</v>
      </c>
      <c r="G204" s="152" t="s">
        <v>971</v>
      </c>
      <c r="H204" s="137" t="s">
        <v>1214</v>
      </c>
      <c r="I204" s="137" t="s">
        <v>1330</v>
      </c>
      <c r="J204" s="45">
        <v>2</v>
      </c>
    </row>
    <row r="205" spans="1:10" s="34" customFormat="1">
      <c r="A205" s="44">
        <v>58</v>
      </c>
      <c r="B205" s="152" t="s">
        <v>1590</v>
      </c>
      <c r="C205" s="186">
        <v>1</v>
      </c>
      <c r="D205" s="152" t="s">
        <v>1630</v>
      </c>
      <c r="E205" s="155" t="s">
        <v>1204</v>
      </c>
      <c r="F205" s="187">
        <v>31</v>
      </c>
      <c r="G205" s="152" t="s">
        <v>597</v>
      </c>
      <c r="H205" s="137" t="s">
        <v>1214</v>
      </c>
      <c r="I205" s="137" t="s">
        <v>1330</v>
      </c>
      <c r="J205" s="45">
        <v>2</v>
      </c>
    </row>
    <row r="206" spans="1:10" s="34" customFormat="1">
      <c r="A206" s="44">
        <v>69</v>
      </c>
      <c r="B206" s="152" t="s">
        <v>1590</v>
      </c>
      <c r="C206" s="186">
        <v>1</v>
      </c>
      <c r="D206" s="152" t="s">
        <v>1555</v>
      </c>
      <c r="E206" s="155" t="s">
        <v>1212</v>
      </c>
      <c r="F206" s="187">
        <v>31</v>
      </c>
      <c r="G206" s="152" t="s">
        <v>587</v>
      </c>
      <c r="H206" s="137" t="s">
        <v>1214</v>
      </c>
      <c r="I206" s="137" t="s">
        <v>1330</v>
      </c>
      <c r="J206" s="45">
        <v>2</v>
      </c>
    </row>
    <row r="207" spans="1:10" s="34" customFormat="1">
      <c r="A207" s="44">
        <v>163</v>
      </c>
      <c r="B207" s="152" t="s">
        <v>1590</v>
      </c>
      <c r="C207" s="186">
        <v>1</v>
      </c>
      <c r="D207" s="152" t="s">
        <v>1561</v>
      </c>
      <c r="E207" s="155" t="s">
        <v>1270</v>
      </c>
      <c r="F207" s="187">
        <v>31</v>
      </c>
      <c r="G207" s="152" t="s">
        <v>1035</v>
      </c>
      <c r="H207" s="137" t="s">
        <v>1214</v>
      </c>
      <c r="I207" s="137" t="s">
        <v>1330</v>
      </c>
      <c r="J207" s="45">
        <v>2</v>
      </c>
    </row>
    <row r="208" spans="1:10" s="34" customFormat="1">
      <c r="A208" s="44">
        <v>207</v>
      </c>
      <c r="B208" s="152" t="s">
        <v>1590</v>
      </c>
      <c r="C208" s="186">
        <v>1</v>
      </c>
      <c r="D208" s="152" t="s">
        <v>1649</v>
      </c>
      <c r="E208" s="155" t="s">
        <v>1296</v>
      </c>
      <c r="F208" s="187">
        <v>31</v>
      </c>
      <c r="G208" s="152" t="s">
        <v>603</v>
      </c>
      <c r="H208" s="137" t="s">
        <v>1214</v>
      </c>
      <c r="I208" s="137" t="s">
        <v>1330</v>
      </c>
      <c r="J208" s="45">
        <v>2</v>
      </c>
    </row>
    <row r="209" spans="1:10" s="34" customFormat="1">
      <c r="A209" s="44">
        <v>217</v>
      </c>
      <c r="B209" s="152" t="s">
        <v>1590</v>
      </c>
      <c r="C209" s="186">
        <v>1</v>
      </c>
      <c r="D209" s="152" t="s">
        <v>1651</v>
      </c>
      <c r="E209" s="155" t="s">
        <v>1430</v>
      </c>
      <c r="F209" s="187">
        <v>31</v>
      </c>
      <c r="G209" s="152" t="s">
        <v>590</v>
      </c>
      <c r="H209" s="137" t="s">
        <v>1214</v>
      </c>
      <c r="I209" s="137" t="s">
        <v>1330</v>
      </c>
      <c r="J209" s="45">
        <v>2</v>
      </c>
    </row>
    <row r="210" spans="1:10" s="34" customFormat="1">
      <c r="A210" s="44">
        <v>246</v>
      </c>
      <c r="B210" s="152" t="s">
        <v>1590</v>
      </c>
      <c r="C210" s="186">
        <v>1</v>
      </c>
      <c r="D210" s="152" t="s">
        <v>1660</v>
      </c>
      <c r="E210" s="155" t="s">
        <v>1324</v>
      </c>
      <c r="F210" s="187">
        <v>31</v>
      </c>
      <c r="G210" s="152" t="s">
        <v>1028</v>
      </c>
      <c r="H210" s="137" t="s">
        <v>1214</v>
      </c>
      <c r="I210" s="137" t="s">
        <v>1330</v>
      </c>
      <c r="J210" s="45">
        <v>2</v>
      </c>
    </row>
    <row r="211" spans="1:10" s="34" customFormat="1">
      <c r="A211" s="44">
        <v>257</v>
      </c>
      <c r="B211" s="152" t="s">
        <v>1590</v>
      </c>
      <c r="C211" s="186">
        <v>1</v>
      </c>
      <c r="D211" s="152" t="s">
        <v>1663</v>
      </c>
      <c r="E211" s="155" t="s">
        <v>1330</v>
      </c>
      <c r="F211" s="187">
        <v>31</v>
      </c>
      <c r="G211" s="152" t="s">
        <v>602</v>
      </c>
      <c r="H211" s="137" t="s">
        <v>1214</v>
      </c>
      <c r="I211" s="137" t="s">
        <v>1330</v>
      </c>
      <c r="J211" s="45">
        <v>2</v>
      </c>
    </row>
    <row r="212" spans="1:10" s="34" customFormat="1">
      <c r="A212" s="44">
        <v>146</v>
      </c>
      <c r="B212" s="113" t="s">
        <v>1590</v>
      </c>
      <c r="C212" s="114">
        <v>2</v>
      </c>
      <c r="D212" s="113" t="s">
        <v>1553</v>
      </c>
      <c r="E212" s="108" t="s">
        <v>1262</v>
      </c>
      <c r="F212" s="49">
        <v>31</v>
      </c>
      <c r="G212" s="113" t="s">
        <v>1016</v>
      </c>
      <c r="H212" s="137" t="s">
        <v>1214</v>
      </c>
      <c r="I212" s="137" t="s">
        <v>1330</v>
      </c>
      <c r="J212" s="45">
        <v>2</v>
      </c>
    </row>
    <row r="213" spans="1:10" s="34" customFormat="1">
      <c r="A213" s="44">
        <v>187</v>
      </c>
      <c r="B213" s="113" t="s">
        <v>1590</v>
      </c>
      <c r="C213" s="114">
        <v>2</v>
      </c>
      <c r="D213" s="113" t="s">
        <v>1645</v>
      </c>
      <c r="E213" s="108" t="s">
        <v>1429</v>
      </c>
      <c r="F213" s="49">
        <v>31</v>
      </c>
      <c r="G213" s="113" t="s">
        <v>587</v>
      </c>
      <c r="H213" s="137" t="s">
        <v>1214</v>
      </c>
      <c r="I213" s="137" t="s">
        <v>1330</v>
      </c>
      <c r="J213" s="45">
        <v>2</v>
      </c>
    </row>
    <row r="214" spans="1:10" s="34" customFormat="1">
      <c r="A214" s="44">
        <v>189</v>
      </c>
      <c r="B214" s="113" t="s">
        <v>1590</v>
      </c>
      <c r="C214" s="114">
        <v>2</v>
      </c>
      <c r="D214" s="113" t="s">
        <v>1645</v>
      </c>
      <c r="E214" s="108" t="s">
        <v>1286</v>
      </c>
      <c r="F214" s="49">
        <v>31</v>
      </c>
      <c r="G214" s="113" t="s">
        <v>598</v>
      </c>
      <c r="H214" s="137" t="s">
        <v>1214</v>
      </c>
      <c r="I214" s="137" t="s">
        <v>1330</v>
      </c>
      <c r="J214" s="45">
        <v>2</v>
      </c>
    </row>
    <row r="215" spans="1:10" s="34" customFormat="1">
      <c r="A215" s="44">
        <v>240</v>
      </c>
      <c r="B215" s="113" t="s">
        <v>1590</v>
      </c>
      <c r="C215" s="114">
        <v>2</v>
      </c>
      <c r="D215" s="113" t="s">
        <v>1657</v>
      </c>
      <c r="E215" s="108" t="s">
        <v>1320</v>
      </c>
      <c r="F215" s="49">
        <v>31</v>
      </c>
      <c r="G215" s="113" t="s">
        <v>598</v>
      </c>
      <c r="H215" s="137" t="s">
        <v>1214</v>
      </c>
      <c r="I215" s="137" t="s">
        <v>1330</v>
      </c>
      <c r="J215" s="45">
        <v>2</v>
      </c>
    </row>
    <row r="216" spans="1:10" s="34" customFormat="1">
      <c r="A216" s="44">
        <v>84</v>
      </c>
      <c r="B216" s="113" t="s">
        <v>1590</v>
      </c>
      <c r="C216" s="114">
        <v>3</v>
      </c>
      <c r="D216" s="113" t="s">
        <v>1634</v>
      </c>
      <c r="E216" s="108" t="s">
        <v>1222</v>
      </c>
      <c r="F216" s="49">
        <v>31</v>
      </c>
      <c r="G216" s="113" t="s">
        <v>976</v>
      </c>
      <c r="H216" s="137" t="s">
        <v>1214</v>
      </c>
      <c r="I216" s="137" t="s">
        <v>1330</v>
      </c>
      <c r="J216" s="45">
        <v>2</v>
      </c>
    </row>
    <row r="217" spans="1:10" s="34" customFormat="1">
      <c r="A217" s="115">
        <v>261</v>
      </c>
      <c r="B217" s="116" t="s">
        <v>1590</v>
      </c>
      <c r="C217" s="117">
        <v>3</v>
      </c>
      <c r="D217" s="116" t="s">
        <v>1664</v>
      </c>
      <c r="E217" s="108" t="s">
        <v>1333</v>
      </c>
      <c r="F217" s="49">
        <v>31</v>
      </c>
      <c r="G217" s="116" t="s">
        <v>589</v>
      </c>
      <c r="H217" s="137" t="s">
        <v>1214</v>
      </c>
      <c r="I217" s="137" t="s">
        <v>1330</v>
      </c>
      <c r="J217" s="45">
        <v>2</v>
      </c>
    </row>
    <row r="218" spans="1:10" s="34" customFormat="1">
      <c r="A218" s="115">
        <v>275</v>
      </c>
      <c r="B218" s="116" t="s">
        <v>1590</v>
      </c>
      <c r="C218" s="117">
        <v>3</v>
      </c>
      <c r="D218" s="116" t="s">
        <v>1563</v>
      </c>
      <c r="E218" s="108" t="s">
        <v>1340</v>
      </c>
      <c r="F218" s="49">
        <v>31</v>
      </c>
      <c r="G218" s="116" t="s">
        <v>1029</v>
      </c>
      <c r="H218" s="137" t="s">
        <v>1214</v>
      </c>
      <c r="I218" s="137" t="s">
        <v>1330</v>
      </c>
      <c r="J218" s="45">
        <v>2</v>
      </c>
    </row>
    <row r="219" spans="1:10" s="34" customFormat="1">
      <c r="A219" s="44">
        <v>47</v>
      </c>
      <c r="B219" s="113" t="s">
        <v>1590</v>
      </c>
      <c r="C219" s="114">
        <v>4</v>
      </c>
      <c r="D219" s="113" t="s">
        <v>1624</v>
      </c>
      <c r="E219" s="108" t="s">
        <v>1199</v>
      </c>
      <c r="F219" s="49">
        <v>31</v>
      </c>
      <c r="G219" s="113" t="s">
        <v>587</v>
      </c>
      <c r="H219" s="137" t="s">
        <v>1214</v>
      </c>
      <c r="I219" s="137" t="s">
        <v>1330</v>
      </c>
      <c r="J219" s="45">
        <v>2</v>
      </c>
    </row>
    <row r="220" spans="1:10" s="34" customFormat="1">
      <c r="A220" s="44">
        <v>35</v>
      </c>
      <c r="B220" s="113" t="s">
        <v>1590</v>
      </c>
      <c r="C220" s="196">
        <v>5</v>
      </c>
      <c r="D220" s="189" t="s">
        <v>1567</v>
      </c>
      <c r="E220" s="190" t="s">
        <v>1188</v>
      </c>
      <c r="F220" s="191">
        <v>31</v>
      </c>
      <c r="G220" s="189" t="s">
        <v>587</v>
      </c>
      <c r="H220" s="137" t="s">
        <v>1214</v>
      </c>
      <c r="I220" s="137" t="s">
        <v>1330</v>
      </c>
      <c r="J220" s="45">
        <v>2</v>
      </c>
    </row>
    <row r="221" spans="1:10" s="34" customFormat="1">
      <c r="A221" s="44">
        <v>99</v>
      </c>
      <c r="B221" s="113" t="s">
        <v>1590</v>
      </c>
      <c r="C221" s="114">
        <v>5</v>
      </c>
      <c r="D221" s="113" t="s">
        <v>1638</v>
      </c>
      <c r="E221" s="108" t="s">
        <v>1233</v>
      </c>
      <c r="F221" s="49">
        <v>31</v>
      </c>
      <c r="G221" s="113" t="s">
        <v>1010</v>
      </c>
      <c r="H221" s="137" t="s">
        <v>1214</v>
      </c>
      <c r="I221" s="137" t="s">
        <v>1330</v>
      </c>
      <c r="J221" s="45">
        <v>2</v>
      </c>
    </row>
    <row r="222" spans="1:10" s="34" customFormat="1">
      <c r="A222" s="115">
        <v>262</v>
      </c>
      <c r="B222" s="116" t="s">
        <v>1590</v>
      </c>
      <c r="C222" s="117">
        <v>5</v>
      </c>
      <c r="D222" s="116" t="s">
        <v>1664</v>
      </c>
      <c r="E222" s="108" t="s">
        <v>1334</v>
      </c>
      <c r="F222" s="49">
        <v>31</v>
      </c>
      <c r="G222" s="116" t="s">
        <v>595</v>
      </c>
      <c r="H222" s="137" t="s">
        <v>1214</v>
      </c>
      <c r="I222" s="137" t="s">
        <v>1330</v>
      </c>
      <c r="J222" s="45">
        <v>2</v>
      </c>
    </row>
    <row r="223" spans="1:10" s="34" customFormat="1">
      <c r="A223" s="138">
        <v>229</v>
      </c>
      <c r="B223" s="139" t="s">
        <v>549</v>
      </c>
      <c r="C223" s="140">
        <v>2</v>
      </c>
      <c r="D223" s="139" t="s">
        <v>1653</v>
      </c>
      <c r="E223" s="141" t="s">
        <v>1310</v>
      </c>
      <c r="F223" s="143">
        <v>32</v>
      </c>
      <c r="G223" s="139" t="s">
        <v>989</v>
      </c>
      <c r="H223" s="142" t="s">
        <v>1181</v>
      </c>
      <c r="I223" s="142" t="s">
        <v>1213</v>
      </c>
      <c r="J223" s="45">
        <v>1</v>
      </c>
    </row>
    <row r="224" spans="1:10" s="34" customFormat="1">
      <c r="A224" s="138">
        <v>22</v>
      </c>
      <c r="B224" s="139" t="s">
        <v>549</v>
      </c>
      <c r="C224" s="140">
        <v>3</v>
      </c>
      <c r="D224" s="139" t="s">
        <v>1622</v>
      </c>
      <c r="E224" s="141" t="s">
        <v>1180</v>
      </c>
      <c r="F224" s="143">
        <v>32</v>
      </c>
      <c r="G224" s="139" t="s">
        <v>590</v>
      </c>
      <c r="H224" s="142" t="s">
        <v>1181</v>
      </c>
      <c r="I224" s="142" t="s">
        <v>1213</v>
      </c>
      <c r="J224" s="45">
        <v>1</v>
      </c>
    </row>
    <row r="225" spans="1:10" s="34" customFormat="1">
      <c r="A225" s="138">
        <v>164</v>
      </c>
      <c r="B225" s="139" t="s">
        <v>549</v>
      </c>
      <c r="C225" s="140">
        <v>5</v>
      </c>
      <c r="D225" s="139" t="s">
        <v>1561</v>
      </c>
      <c r="E225" s="141" t="s">
        <v>1271</v>
      </c>
      <c r="F225" s="143">
        <v>32</v>
      </c>
      <c r="G225" s="139" t="s">
        <v>968</v>
      </c>
      <c r="H225" s="142" t="s">
        <v>1181</v>
      </c>
      <c r="I225" s="142" t="s">
        <v>1213</v>
      </c>
      <c r="J225" s="45">
        <v>1</v>
      </c>
    </row>
    <row r="226" spans="1:10" s="34" customFormat="1">
      <c r="A226" s="44">
        <v>56</v>
      </c>
      <c r="B226" s="152" t="s">
        <v>1580</v>
      </c>
      <c r="C226" s="186">
        <v>1</v>
      </c>
      <c r="D226" s="152" t="s">
        <v>1629</v>
      </c>
      <c r="E226" s="155" t="s">
        <v>1203</v>
      </c>
      <c r="F226" s="187">
        <v>33</v>
      </c>
      <c r="G226" s="152" t="s">
        <v>587</v>
      </c>
      <c r="H226" s="137" t="s">
        <v>1268</v>
      </c>
      <c r="I226" s="137" t="s">
        <v>1221</v>
      </c>
      <c r="J226" s="45">
        <v>2</v>
      </c>
    </row>
    <row r="227" spans="1:10" s="34" customFormat="1">
      <c r="A227" s="44">
        <v>68</v>
      </c>
      <c r="B227" s="152" t="s">
        <v>1580</v>
      </c>
      <c r="C227" s="186">
        <v>1</v>
      </c>
      <c r="D227" s="152" t="s">
        <v>1555</v>
      </c>
      <c r="E227" s="155" t="s">
        <v>1211</v>
      </c>
      <c r="F227" s="187">
        <v>33</v>
      </c>
      <c r="G227" s="152" t="s">
        <v>1007</v>
      </c>
      <c r="H227" s="137" t="s">
        <v>1268</v>
      </c>
      <c r="I227" s="137" t="s">
        <v>1221</v>
      </c>
      <c r="J227" s="45">
        <v>2</v>
      </c>
    </row>
    <row r="228" spans="1:10" s="34" customFormat="1">
      <c r="A228" s="44">
        <v>103</v>
      </c>
      <c r="B228" s="152" t="s">
        <v>1580</v>
      </c>
      <c r="C228" s="186">
        <v>1</v>
      </c>
      <c r="D228" s="152" t="s">
        <v>1551</v>
      </c>
      <c r="E228" s="155" t="s">
        <v>1236</v>
      </c>
      <c r="F228" s="187">
        <v>33</v>
      </c>
      <c r="G228" s="152" t="s">
        <v>970</v>
      </c>
      <c r="H228" s="137" t="s">
        <v>1268</v>
      </c>
      <c r="I228" s="137" t="s">
        <v>1221</v>
      </c>
      <c r="J228" s="45">
        <v>2</v>
      </c>
    </row>
    <row r="229" spans="1:10" s="34" customFormat="1">
      <c r="A229" s="44">
        <v>235</v>
      </c>
      <c r="B229" s="152" t="s">
        <v>1580</v>
      </c>
      <c r="C229" s="186">
        <v>1</v>
      </c>
      <c r="D229" s="152" t="s">
        <v>1655</v>
      </c>
      <c r="E229" s="155" t="s">
        <v>1315</v>
      </c>
      <c r="F229" s="187">
        <v>33</v>
      </c>
      <c r="G229" s="152" t="s">
        <v>991</v>
      </c>
      <c r="H229" s="137" t="s">
        <v>1268</v>
      </c>
      <c r="I229" s="137" t="s">
        <v>1221</v>
      </c>
      <c r="J229" s="45">
        <v>2</v>
      </c>
    </row>
    <row r="230" spans="1:10" s="34" customFormat="1">
      <c r="A230" s="44">
        <v>236</v>
      </c>
      <c r="B230" s="152" t="s">
        <v>1580</v>
      </c>
      <c r="C230" s="186">
        <v>1</v>
      </c>
      <c r="D230" s="152" t="s">
        <v>1656</v>
      </c>
      <c r="E230" s="155" t="s">
        <v>1316</v>
      </c>
      <c r="F230" s="187">
        <v>33</v>
      </c>
      <c r="G230" s="152" t="s">
        <v>979</v>
      </c>
      <c r="H230" s="137" t="s">
        <v>1268</v>
      </c>
      <c r="I230" s="137" t="s">
        <v>1221</v>
      </c>
      <c r="J230" s="45">
        <v>2</v>
      </c>
    </row>
    <row r="231" spans="1:10" s="34" customFormat="1">
      <c r="A231" s="44">
        <v>242</v>
      </c>
      <c r="B231" s="113" t="s">
        <v>1580</v>
      </c>
      <c r="C231" s="114">
        <v>2</v>
      </c>
      <c r="D231" s="113" t="s">
        <v>1658</v>
      </c>
      <c r="E231" s="108" t="s">
        <v>1322</v>
      </c>
      <c r="F231" s="49">
        <v>33</v>
      </c>
      <c r="G231" s="113" t="s">
        <v>972</v>
      </c>
      <c r="H231" s="137" t="s">
        <v>1268</v>
      </c>
      <c r="I231" s="137" t="s">
        <v>1221</v>
      </c>
      <c r="J231" s="45">
        <v>2</v>
      </c>
    </row>
    <row r="232" spans="1:10" s="34" customFormat="1">
      <c r="A232" s="44">
        <v>33</v>
      </c>
      <c r="B232" s="113" t="s">
        <v>1580</v>
      </c>
      <c r="C232" s="114">
        <v>3</v>
      </c>
      <c r="D232" s="113" t="s">
        <v>1567</v>
      </c>
      <c r="E232" s="108" t="s">
        <v>1187</v>
      </c>
      <c r="F232" s="49">
        <v>33</v>
      </c>
      <c r="G232" s="113" t="s">
        <v>981</v>
      </c>
      <c r="H232" s="137" t="s">
        <v>1268</v>
      </c>
      <c r="I232" s="137" t="s">
        <v>1221</v>
      </c>
      <c r="J232" s="45">
        <v>2</v>
      </c>
    </row>
    <row r="233" spans="1:10" s="34" customFormat="1">
      <c r="A233" s="138">
        <v>45</v>
      </c>
      <c r="B233" s="153" t="s">
        <v>1581</v>
      </c>
      <c r="C233" s="192">
        <v>1</v>
      </c>
      <c r="D233" s="153" t="s">
        <v>1624</v>
      </c>
      <c r="E233" s="193" t="s">
        <v>1197</v>
      </c>
      <c r="F233" s="194">
        <v>34</v>
      </c>
      <c r="G233" s="153" t="s">
        <v>587</v>
      </c>
      <c r="H233" s="195" t="s">
        <v>1209</v>
      </c>
      <c r="I233" s="195" t="s">
        <v>1421</v>
      </c>
      <c r="J233" s="45">
        <v>1</v>
      </c>
    </row>
    <row r="234" spans="1:10" s="34" customFormat="1">
      <c r="A234" s="138">
        <v>51</v>
      </c>
      <c r="B234" s="153" t="s">
        <v>1581</v>
      </c>
      <c r="C234" s="192">
        <v>1</v>
      </c>
      <c r="D234" s="153" t="s">
        <v>1627</v>
      </c>
      <c r="E234" s="193" t="s">
        <v>1201</v>
      </c>
      <c r="F234" s="194">
        <v>34</v>
      </c>
      <c r="G234" s="153" t="s">
        <v>983</v>
      </c>
      <c r="H234" s="195" t="s">
        <v>1209</v>
      </c>
      <c r="I234" s="195" t="s">
        <v>1421</v>
      </c>
      <c r="J234" s="45">
        <v>1</v>
      </c>
    </row>
    <row r="235" spans="1:10" s="34" customFormat="1">
      <c r="A235" s="138">
        <v>115</v>
      </c>
      <c r="B235" s="153" t="s">
        <v>1581</v>
      </c>
      <c r="C235" s="192">
        <v>1</v>
      </c>
      <c r="D235" s="153" t="s">
        <v>1640</v>
      </c>
      <c r="E235" s="193" t="s">
        <v>1244</v>
      </c>
      <c r="F235" s="194">
        <v>34</v>
      </c>
      <c r="G235" s="153" t="s">
        <v>587</v>
      </c>
      <c r="H235" s="195" t="s">
        <v>1209</v>
      </c>
      <c r="I235" s="195" t="s">
        <v>1421</v>
      </c>
      <c r="J235" s="45">
        <v>1</v>
      </c>
    </row>
    <row r="236" spans="1:10" s="34" customFormat="1">
      <c r="A236" s="138">
        <v>187</v>
      </c>
      <c r="B236" s="153" t="s">
        <v>1581</v>
      </c>
      <c r="C236" s="192">
        <v>1</v>
      </c>
      <c r="D236" s="153" t="s">
        <v>1645</v>
      </c>
      <c r="E236" s="193" t="s">
        <v>1429</v>
      </c>
      <c r="F236" s="194">
        <v>34</v>
      </c>
      <c r="G236" s="153" t="s">
        <v>587</v>
      </c>
      <c r="H236" s="195" t="s">
        <v>1209</v>
      </c>
      <c r="I236" s="195" t="s">
        <v>1421</v>
      </c>
      <c r="J236" s="45">
        <v>1</v>
      </c>
    </row>
    <row r="237" spans="1:10" s="34" customFormat="1">
      <c r="A237" s="138">
        <v>212</v>
      </c>
      <c r="B237" s="153" t="s">
        <v>1581</v>
      </c>
      <c r="C237" s="192">
        <v>1</v>
      </c>
      <c r="D237" s="153" t="s">
        <v>1649</v>
      </c>
      <c r="E237" s="193" t="s">
        <v>1301</v>
      </c>
      <c r="F237" s="194">
        <v>34</v>
      </c>
      <c r="G237" s="153" t="s">
        <v>598</v>
      </c>
      <c r="H237" s="195" t="s">
        <v>1209</v>
      </c>
      <c r="I237" s="195" t="s">
        <v>1421</v>
      </c>
      <c r="J237" s="45">
        <v>1</v>
      </c>
    </row>
    <row r="238" spans="1:10" s="34" customFormat="1">
      <c r="A238" s="138">
        <v>66</v>
      </c>
      <c r="B238" s="139" t="s">
        <v>1581</v>
      </c>
      <c r="C238" s="140">
        <v>2</v>
      </c>
      <c r="D238" s="139" t="s">
        <v>1555</v>
      </c>
      <c r="E238" s="141" t="s">
        <v>1209</v>
      </c>
      <c r="F238" s="143">
        <v>34</v>
      </c>
      <c r="G238" s="139" t="s">
        <v>587</v>
      </c>
      <c r="H238" s="142" t="s">
        <v>1209</v>
      </c>
      <c r="I238" s="142" t="s">
        <v>1421</v>
      </c>
      <c r="J238" s="45">
        <v>1</v>
      </c>
    </row>
    <row r="239" spans="1:10" s="34" customFormat="1">
      <c r="A239" s="138">
        <v>196</v>
      </c>
      <c r="B239" s="139" t="s">
        <v>1581</v>
      </c>
      <c r="C239" s="140">
        <v>2</v>
      </c>
      <c r="D239" s="139" t="s">
        <v>1648</v>
      </c>
      <c r="E239" s="141" t="s">
        <v>1291</v>
      </c>
      <c r="F239" s="143">
        <v>34</v>
      </c>
      <c r="G239" s="139" t="s">
        <v>999</v>
      </c>
      <c r="H239" s="142" t="s">
        <v>1209</v>
      </c>
      <c r="I239" s="142" t="s">
        <v>1421</v>
      </c>
      <c r="J239" s="45">
        <v>1</v>
      </c>
    </row>
    <row r="240" spans="1:10" s="34" customFormat="1">
      <c r="A240" s="138">
        <v>210</v>
      </c>
      <c r="B240" s="139" t="s">
        <v>1581</v>
      </c>
      <c r="C240" s="140">
        <v>2</v>
      </c>
      <c r="D240" s="139" t="s">
        <v>1649</v>
      </c>
      <c r="E240" s="141" t="s">
        <v>1299</v>
      </c>
      <c r="F240" s="143">
        <v>34</v>
      </c>
      <c r="G240" s="139" t="s">
        <v>587</v>
      </c>
      <c r="H240" s="142" t="s">
        <v>1209</v>
      </c>
      <c r="I240" s="142" t="s">
        <v>1421</v>
      </c>
      <c r="J240" s="45">
        <v>1</v>
      </c>
    </row>
    <row r="241" spans="1:10" s="34" customFormat="1">
      <c r="A241" s="138">
        <v>214</v>
      </c>
      <c r="B241" s="139" t="s">
        <v>1581</v>
      </c>
      <c r="C241" s="140">
        <v>2</v>
      </c>
      <c r="D241" s="139" t="s">
        <v>1650</v>
      </c>
      <c r="E241" s="141" t="s">
        <v>1303</v>
      </c>
      <c r="F241" s="143">
        <v>34</v>
      </c>
      <c r="G241" s="139" t="s">
        <v>587</v>
      </c>
      <c r="H241" s="142" t="s">
        <v>1209</v>
      </c>
      <c r="I241" s="142" t="s">
        <v>1421</v>
      </c>
      <c r="J241" s="45">
        <v>1</v>
      </c>
    </row>
    <row r="242" spans="1:10" s="34" customFormat="1">
      <c r="A242" s="44">
        <v>12</v>
      </c>
      <c r="B242" s="152" t="s">
        <v>1576</v>
      </c>
      <c r="C242" s="186">
        <v>1</v>
      </c>
      <c r="D242" s="152" t="s">
        <v>1620</v>
      </c>
      <c r="E242" s="155" t="s">
        <v>1176</v>
      </c>
      <c r="F242" s="187">
        <v>35</v>
      </c>
      <c r="G242" s="152" t="s">
        <v>587</v>
      </c>
      <c r="H242" s="137" t="s">
        <v>1176</v>
      </c>
      <c r="I242" s="137" t="s">
        <v>1176</v>
      </c>
      <c r="J242" s="45">
        <v>2</v>
      </c>
    </row>
    <row r="243" spans="1:10" s="34" customFormat="1">
      <c r="A243" s="44">
        <v>115</v>
      </c>
      <c r="B243" s="113" t="s">
        <v>1576</v>
      </c>
      <c r="C243" s="114">
        <v>2</v>
      </c>
      <c r="D243" s="113" t="s">
        <v>1640</v>
      </c>
      <c r="E243" s="108" t="s">
        <v>1244</v>
      </c>
      <c r="F243" s="49">
        <v>35</v>
      </c>
      <c r="G243" s="113" t="s">
        <v>587</v>
      </c>
      <c r="H243" s="137" t="s">
        <v>1176</v>
      </c>
      <c r="I243" s="137" t="s">
        <v>1176</v>
      </c>
      <c r="J243" s="45">
        <v>2</v>
      </c>
    </row>
    <row r="244" spans="1:10" s="34" customFormat="1">
      <c r="A244" s="44">
        <v>110</v>
      </c>
      <c r="B244" s="113" t="s">
        <v>1576</v>
      </c>
      <c r="C244" s="114">
        <v>3</v>
      </c>
      <c r="D244" s="113" t="s">
        <v>1560</v>
      </c>
      <c r="E244" s="108" t="s">
        <v>1242</v>
      </c>
      <c r="F244" s="49">
        <v>35</v>
      </c>
      <c r="G244" s="113" t="s">
        <v>587</v>
      </c>
      <c r="H244" s="137" t="s">
        <v>1176</v>
      </c>
      <c r="I244" s="137" t="s">
        <v>1176</v>
      </c>
      <c r="J244" s="45">
        <v>2</v>
      </c>
    </row>
    <row r="245" spans="1:10" s="34" customFormat="1">
      <c r="A245" s="138">
        <v>45</v>
      </c>
      <c r="B245" s="139" t="s">
        <v>557</v>
      </c>
      <c r="C245" s="140">
        <v>2</v>
      </c>
      <c r="D245" s="139" t="s">
        <v>1624</v>
      </c>
      <c r="E245" s="141" t="s">
        <v>1197</v>
      </c>
      <c r="F245" s="143">
        <v>36</v>
      </c>
      <c r="G245" s="139" t="s">
        <v>587</v>
      </c>
      <c r="H245" s="142">
        <v>0</v>
      </c>
      <c r="I245" s="142" t="s">
        <v>1176</v>
      </c>
      <c r="J245" s="45">
        <v>1</v>
      </c>
    </row>
    <row r="246" spans="1:10" s="34" customFormat="1">
      <c r="A246" s="138">
        <v>115</v>
      </c>
      <c r="B246" s="139" t="s">
        <v>557</v>
      </c>
      <c r="C246" s="140">
        <v>3</v>
      </c>
      <c r="D246" s="139" t="s">
        <v>1640</v>
      </c>
      <c r="E246" s="141" t="s">
        <v>1244</v>
      </c>
      <c r="F246" s="143">
        <v>36</v>
      </c>
      <c r="G246" s="139" t="s">
        <v>587</v>
      </c>
      <c r="H246" s="142">
        <v>0</v>
      </c>
      <c r="I246" s="142" t="s">
        <v>1176</v>
      </c>
      <c r="J246" s="45">
        <v>1</v>
      </c>
    </row>
    <row r="247" spans="1:10" s="34" customFormat="1">
      <c r="A247" s="138">
        <v>214</v>
      </c>
      <c r="B247" s="139" t="s">
        <v>557</v>
      </c>
      <c r="C247" s="140">
        <v>3</v>
      </c>
      <c r="D247" s="139" t="s">
        <v>1650</v>
      </c>
      <c r="E247" s="141" t="s">
        <v>1303</v>
      </c>
      <c r="F247" s="143">
        <v>36</v>
      </c>
      <c r="G247" s="139" t="s">
        <v>587</v>
      </c>
      <c r="H247" s="142">
        <v>0</v>
      </c>
      <c r="I247" s="142" t="s">
        <v>1176</v>
      </c>
      <c r="J247" s="45">
        <v>1</v>
      </c>
    </row>
    <row r="248" spans="1:10" s="34" customFormat="1">
      <c r="A248" s="138">
        <v>252</v>
      </c>
      <c r="B248" s="139" t="s">
        <v>557</v>
      </c>
      <c r="C248" s="140">
        <v>4</v>
      </c>
      <c r="D248" s="139" t="s">
        <v>1661</v>
      </c>
      <c r="E248" s="141" t="s">
        <v>1326</v>
      </c>
      <c r="F248" s="143">
        <v>36</v>
      </c>
      <c r="G248" s="139" t="s">
        <v>587</v>
      </c>
      <c r="H248" s="142">
        <v>0</v>
      </c>
      <c r="I248" s="142" t="s">
        <v>1176</v>
      </c>
      <c r="J248" s="45">
        <v>1</v>
      </c>
    </row>
    <row r="249" spans="1:10" s="34" customFormat="1">
      <c r="A249" s="138">
        <v>272</v>
      </c>
      <c r="B249" s="139" t="s">
        <v>557</v>
      </c>
      <c r="C249" s="140">
        <v>5</v>
      </c>
      <c r="D249" s="139" t="s">
        <v>1666</v>
      </c>
      <c r="E249" s="141" t="s">
        <v>1338</v>
      </c>
      <c r="F249" s="143">
        <v>36</v>
      </c>
      <c r="G249" s="139" t="s">
        <v>587</v>
      </c>
      <c r="H249" s="142">
        <v>0</v>
      </c>
      <c r="I249" s="142" t="s">
        <v>1176</v>
      </c>
      <c r="J249" s="45">
        <v>1</v>
      </c>
    </row>
    <row r="250" spans="1:10" s="34" customFormat="1">
      <c r="A250" s="44">
        <v>51</v>
      </c>
      <c r="B250" s="113" t="s">
        <v>1606</v>
      </c>
      <c r="C250" s="114">
        <v>3</v>
      </c>
      <c r="D250" s="113" t="s">
        <v>1627</v>
      </c>
      <c r="E250" s="108" t="s">
        <v>1201</v>
      </c>
      <c r="F250" s="49">
        <v>37</v>
      </c>
      <c r="G250" s="113" t="s">
        <v>983</v>
      </c>
      <c r="H250" s="137" t="s">
        <v>1201</v>
      </c>
      <c r="I250" s="137" t="s">
        <v>1294</v>
      </c>
      <c r="J250" s="45">
        <v>2</v>
      </c>
    </row>
    <row r="251" spans="1:10" s="34" customFormat="1">
      <c r="A251" s="44">
        <v>115</v>
      </c>
      <c r="B251" s="113" t="s">
        <v>1606</v>
      </c>
      <c r="C251" s="114">
        <v>4</v>
      </c>
      <c r="D251" s="113" t="s">
        <v>1640</v>
      </c>
      <c r="E251" s="108" t="s">
        <v>1244</v>
      </c>
      <c r="F251" s="49">
        <v>37</v>
      </c>
      <c r="G251" s="113" t="s">
        <v>587</v>
      </c>
      <c r="H251" s="137" t="s">
        <v>1201</v>
      </c>
      <c r="I251" s="137" t="s">
        <v>1294</v>
      </c>
      <c r="J251" s="45">
        <v>2</v>
      </c>
    </row>
    <row r="252" spans="1:10" s="34" customFormat="1">
      <c r="A252" s="44">
        <v>214</v>
      </c>
      <c r="B252" s="113" t="s">
        <v>1606</v>
      </c>
      <c r="C252" s="114">
        <v>4</v>
      </c>
      <c r="D252" s="113" t="s">
        <v>1650</v>
      </c>
      <c r="E252" s="108" t="s">
        <v>1303</v>
      </c>
      <c r="F252" s="49">
        <v>37</v>
      </c>
      <c r="G252" s="113" t="s">
        <v>587</v>
      </c>
      <c r="H252" s="137" t="s">
        <v>1201</v>
      </c>
      <c r="I252" s="137" t="s">
        <v>1294</v>
      </c>
      <c r="J252" s="45">
        <v>2</v>
      </c>
    </row>
    <row r="253" spans="1:10" s="34" customFormat="1">
      <c r="A253" s="44">
        <v>252</v>
      </c>
      <c r="B253" s="113" t="s">
        <v>1606</v>
      </c>
      <c r="C253" s="114">
        <v>5</v>
      </c>
      <c r="D253" s="113" t="s">
        <v>1661</v>
      </c>
      <c r="E253" s="108" t="s">
        <v>1326</v>
      </c>
      <c r="F253" s="49">
        <v>37</v>
      </c>
      <c r="G253" s="113" t="s">
        <v>587</v>
      </c>
      <c r="H253" s="137" t="s">
        <v>1201</v>
      </c>
      <c r="I253" s="137" t="s">
        <v>1294</v>
      </c>
      <c r="J253" s="45">
        <v>2</v>
      </c>
    </row>
    <row r="254" spans="1:10" s="34" customFormat="1">
      <c r="A254" s="138">
        <v>12</v>
      </c>
      <c r="B254" s="139" t="s">
        <v>1577</v>
      </c>
      <c r="C254" s="140">
        <v>2</v>
      </c>
      <c r="D254" s="139" t="s">
        <v>1620</v>
      </c>
      <c r="E254" s="141" t="s">
        <v>1176</v>
      </c>
      <c r="F254" s="143">
        <v>38</v>
      </c>
      <c r="G254" s="139" t="s">
        <v>587</v>
      </c>
      <c r="H254" s="142" t="s">
        <v>1195</v>
      </c>
      <c r="I254" s="142" t="s">
        <v>1201</v>
      </c>
      <c r="J254" s="45">
        <v>1</v>
      </c>
    </row>
    <row r="255" spans="1:10" s="34" customFormat="1">
      <c r="A255" s="138">
        <v>61</v>
      </c>
      <c r="B255" s="139" t="s">
        <v>1577</v>
      </c>
      <c r="C255" s="140">
        <v>2</v>
      </c>
      <c r="D255" s="139" t="s">
        <v>1555</v>
      </c>
      <c r="E255" s="141" t="s">
        <v>1206</v>
      </c>
      <c r="F255" s="143">
        <v>38</v>
      </c>
      <c r="G255" s="139" t="s">
        <v>601</v>
      </c>
      <c r="H255" s="142" t="s">
        <v>1195</v>
      </c>
      <c r="I255" s="142" t="s">
        <v>1201</v>
      </c>
      <c r="J255" s="45">
        <v>1</v>
      </c>
    </row>
    <row r="256" spans="1:10" s="34" customFormat="1">
      <c r="A256" s="138">
        <v>161</v>
      </c>
      <c r="B256" s="139" t="s">
        <v>1577</v>
      </c>
      <c r="C256" s="140">
        <v>2</v>
      </c>
      <c r="D256" s="139" t="s">
        <v>1553</v>
      </c>
      <c r="E256" s="141" t="s">
        <v>1269</v>
      </c>
      <c r="F256" s="143">
        <v>38</v>
      </c>
      <c r="G256" s="139" t="s">
        <v>587</v>
      </c>
      <c r="H256" s="142" t="s">
        <v>1195</v>
      </c>
      <c r="I256" s="142" t="s">
        <v>1201</v>
      </c>
      <c r="J256" s="45">
        <v>1</v>
      </c>
    </row>
    <row r="257" spans="1:10" s="34" customFormat="1">
      <c r="A257" s="138">
        <v>212</v>
      </c>
      <c r="B257" s="139" t="s">
        <v>1577</v>
      </c>
      <c r="C257" s="140">
        <v>2</v>
      </c>
      <c r="D257" s="139" t="s">
        <v>1649</v>
      </c>
      <c r="E257" s="141" t="s">
        <v>1301</v>
      </c>
      <c r="F257" s="143">
        <v>38</v>
      </c>
      <c r="G257" s="139" t="s">
        <v>598</v>
      </c>
      <c r="H257" s="142" t="s">
        <v>1195</v>
      </c>
      <c r="I257" s="142" t="s">
        <v>1201</v>
      </c>
      <c r="J257" s="45">
        <v>1</v>
      </c>
    </row>
    <row r="258" spans="1:10" s="34" customFormat="1">
      <c r="A258" s="138">
        <v>69</v>
      </c>
      <c r="B258" s="139" t="s">
        <v>1577</v>
      </c>
      <c r="C258" s="140">
        <v>3</v>
      </c>
      <c r="D258" s="139" t="s">
        <v>1555</v>
      </c>
      <c r="E258" s="141" t="s">
        <v>1212</v>
      </c>
      <c r="F258" s="143">
        <v>38</v>
      </c>
      <c r="G258" s="139" t="s">
        <v>587</v>
      </c>
      <c r="H258" s="142" t="s">
        <v>1195</v>
      </c>
      <c r="I258" s="142" t="s">
        <v>1201</v>
      </c>
      <c r="J258" s="45">
        <v>1</v>
      </c>
    </row>
    <row r="259" spans="1:10" s="34" customFormat="1">
      <c r="A259" s="138">
        <v>115</v>
      </c>
      <c r="B259" s="139" t="s">
        <v>1577</v>
      </c>
      <c r="C259" s="140">
        <v>5</v>
      </c>
      <c r="D259" s="139" t="s">
        <v>1640</v>
      </c>
      <c r="E259" s="141" t="s">
        <v>1244</v>
      </c>
      <c r="F259" s="143">
        <v>38</v>
      </c>
      <c r="G259" s="139" t="s">
        <v>587</v>
      </c>
      <c r="H259" s="142" t="s">
        <v>1195</v>
      </c>
      <c r="I259" s="142" t="s">
        <v>1201</v>
      </c>
      <c r="J259" s="45">
        <v>1</v>
      </c>
    </row>
    <row r="260" spans="1:10" s="34" customFormat="1">
      <c r="A260" s="138">
        <v>214</v>
      </c>
      <c r="B260" s="139" t="s">
        <v>1577</v>
      </c>
      <c r="C260" s="140">
        <v>5</v>
      </c>
      <c r="D260" s="139" t="s">
        <v>1650</v>
      </c>
      <c r="E260" s="141" t="s">
        <v>1303</v>
      </c>
      <c r="F260" s="143">
        <v>38</v>
      </c>
      <c r="G260" s="139" t="s">
        <v>587</v>
      </c>
      <c r="H260" s="142" t="s">
        <v>1195</v>
      </c>
      <c r="I260" s="142" t="s">
        <v>1201</v>
      </c>
      <c r="J260" s="45">
        <v>1</v>
      </c>
    </row>
    <row r="261" spans="1:10" s="34" customFormat="1">
      <c r="A261" s="44">
        <v>22</v>
      </c>
      <c r="B261" s="113" t="s">
        <v>545</v>
      </c>
      <c r="C261" s="114">
        <v>4</v>
      </c>
      <c r="D261" s="113" t="s">
        <v>1622</v>
      </c>
      <c r="E261" s="108" t="s">
        <v>1180</v>
      </c>
      <c r="F261" s="49">
        <v>39</v>
      </c>
      <c r="G261" s="113" t="s">
        <v>590</v>
      </c>
      <c r="H261" s="137" t="s">
        <v>1294</v>
      </c>
      <c r="I261" s="137" t="s">
        <v>1201</v>
      </c>
      <c r="J261" s="45">
        <v>2</v>
      </c>
    </row>
    <row r="262" spans="1:10" s="34" customFormat="1">
      <c r="A262" s="138">
        <v>45</v>
      </c>
      <c r="B262" s="139" t="s">
        <v>1598</v>
      </c>
      <c r="C262" s="140">
        <v>3</v>
      </c>
      <c r="D262" s="139" t="s">
        <v>1624</v>
      </c>
      <c r="E262" s="141" t="s">
        <v>1197</v>
      </c>
      <c r="F262" s="143">
        <v>41</v>
      </c>
      <c r="G262" s="139" t="s">
        <v>587</v>
      </c>
      <c r="H262" s="142" t="s">
        <v>1278</v>
      </c>
      <c r="I262" s="142" t="s">
        <v>1239</v>
      </c>
      <c r="J262" s="45">
        <v>1</v>
      </c>
    </row>
    <row r="263" spans="1:10" s="34" customFormat="1">
      <c r="A263" s="138">
        <v>110</v>
      </c>
      <c r="B263" s="139" t="s">
        <v>1598</v>
      </c>
      <c r="C263" s="140">
        <v>4</v>
      </c>
      <c r="D263" s="139" t="s">
        <v>1560</v>
      </c>
      <c r="E263" s="141" t="s">
        <v>1242</v>
      </c>
      <c r="F263" s="143">
        <v>41</v>
      </c>
      <c r="G263" s="139" t="s">
        <v>587</v>
      </c>
      <c r="H263" s="142" t="s">
        <v>1278</v>
      </c>
      <c r="I263" s="142" t="s">
        <v>1239</v>
      </c>
      <c r="J263" s="45">
        <v>1</v>
      </c>
    </row>
    <row r="264" spans="1:10" s="34" customFormat="1">
      <c r="A264" s="138">
        <v>51</v>
      </c>
      <c r="B264" s="139" t="s">
        <v>1598</v>
      </c>
      <c r="C264" s="140">
        <v>5</v>
      </c>
      <c r="D264" s="139" t="s">
        <v>1627</v>
      </c>
      <c r="E264" s="141" t="s">
        <v>1201</v>
      </c>
      <c r="F264" s="143">
        <v>41</v>
      </c>
      <c r="G264" s="139" t="s">
        <v>983</v>
      </c>
      <c r="H264" s="142" t="s">
        <v>1278</v>
      </c>
      <c r="I264" s="142" t="s">
        <v>1239</v>
      </c>
      <c r="J264" s="45">
        <v>1</v>
      </c>
    </row>
    <row r="265" spans="1:10" s="34" customFormat="1">
      <c r="A265" s="44">
        <v>45</v>
      </c>
      <c r="B265" s="113" t="s">
        <v>1599</v>
      </c>
      <c r="C265" s="114">
        <v>5</v>
      </c>
      <c r="D265" s="113" t="s">
        <v>1624</v>
      </c>
      <c r="E265" s="108" t="s">
        <v>1197</v>
      </c>
      <c r="F265" s="49">
        <v>42</v>
      </c>
      <c r="G265" s="113" t="s">
        <v>587</v>
      </c>
      <c r="H265" s="137" t="s">
        <v>1197</v>
      </c>
      <c r="I265" s="137" t="s">
        <v>1195</v>
      </c>
      <c r="J265" s="45">
        <v>2</v>
      </c>
    </row>
    <row r="266" spans="1:10" s="34" customFormat="1">
      <c r="A266" s="138">
        <v>49</v>
      </c>
      <c r="B266" s="139" t="s">
        <v>1582</v>
      </c>
      <c r="C266" s="140">
        <v>2</v>
      </c>
      <c r="D266" s="139" t="s">
        <v>1625</v>
      </c>
      <c r="E266" s="141" t="s">
        <v>1200</v>
      </c>
      <c r="F266" s="143">
        <v>43</v>
      </c>
      <c r="G266" s="139" t="s">
        <v>605</v>
      </c>
      <c r="H266" s="142" t="s">
        <v>1252</v>
      </c>
      <c r="I266" s="142" t="s">
        <v>1236</v>
      </c>
      <c r="J266" s="45">
        <v>1</v>
      </c>
    </row>
    <row r="267" spans="1:10" s="34" customFormat="1">
      <c r="A267" s="138">
        <v>103</v>
      </c>
      <c r="B267" s="139" t="s">
        <v>1582</v>
      </c>
      <c r="C267" s="140">
        <v>2</v>
      </c>
      <c r="D267" s="139" t="s">
        <v>1551</v>
      </c>
      <c r="E267" s="141" t="s">
        <v>1236</v>
      </c>
      <c r="F267" s="143">
        <v>43</v>
      </c>
      <c r="G267" s="139" t="s">
        <v>970</v>
      </c>
      <c r="H267" s="142" t="s">
        <v>1252</v>
      </c>
      <c r="I267" s="142" t="s">
        <v>1236</v>
      </c>
      <c r="J267" s="45">
        <v>1</v>
      </c>
    </row>
    <row r="268" spans="1:10" s="34" customFormat="1">
      <c r="A268" s="138">
        <v>122</v>
      </c>
      <c r="B268" s="139" t="s">
        <v>1582</v>
      </c>
      <c r="C268" s="140">
        <v>2</v>
      </c>
      <c r="D268" s="139" t="s">
        <v>1553</v>
      </c>
      <c r="E268" s="141" t="s">
        <v>1248</v>
      </c>
      <c r="F268" s="143">
        <v>43</v>
      </c>
      <c r="G268" s="139" t="s">
        <v>1013</v>
      </c>
      <c r="H268" s="142" t="s">
        <v>1252</v>
      </c>
      <c r="I268" s="142" t="s">
        <v>1236</v>
      </c>
      <c r="J268" s="45">
        <v>1</v>
      </c>
    </row>
    <row r="269" spans="1:10" s="34" customFormat="1">
      <c r="A269" s="138">
        <v>156</v>
      </c>
      <c r="B269" s="139" t="s">
        <v>1582</v>
      </c>
      <c r="C269" s="140">
        <v>3</v>
      </c>
      <c r="D269" s="139" t="s">
        <v>1553</v>
      </c>
      <c r="E269" s="141" t="s">
        <v>1265</v>
      </c>
      <c r="F269" s="143">
        <v>43</v>
      </c>
      <c r="G269" s="139" t="s">
        <v>994</v>
      </c>
      <c r="H269" s="142" t="s">
        <v>1252</v>
      </c>
      <c r="I269" s="142" t="s">
        <v>1236</v>
      </c>
      <c r="J269" s="45">
        <v>1</v>
      </c>
    </row>
    <row r="270" spans="1:10" s="34" customFormat="1">
      <c r="A270" s="138">
        <v>16</v>
      </c>
      <c r="B270" s="139" t="s">
        <v>1582</v>
      </c>
      <c r="C270" s="140">
        <v>4</v>
      </c>
      <c r="D270" s="139" t="s">
        <v>1621</v>
      </c>
      <c r="E270" s="141" t="s">
        <v>1178</v>
      </c>
      <c r="F270" s="143">
        <v>43</v>
      </c>
      <c r="G270" s="139" t="s">
        <v>1014</v>
      </c>
      <c r="H270" s="142" t="s">
        <v>1252</v>
      </c>
      <c r="I270" s="142" t="s">
        <v>1236</v>
      </c>
      <c r="J270" s="45">
        <v>1</v>
      </c>
    </row>
    <row r="271" spans="1:10" s="34" customFormat="1">
      <c r="A271" s="138">
        <v>90</v>
      </c>
      <c r="B271" s="139" t="s">
        <v>1582</v>
      </c>
      <c r="C271" s="140">
        <v>4</v>
      </c>
      <c r="D271" s="139" t="s">
        <v>1636</v>
      </c>
      <c r="E271" s="141" t="s">
        <v>1228</v>
      </c>
      <c r="F271" s="143">
        <v>43</v>
      </c>
      <c r="G271" s="139" t="s">
        <v>600</v>
      </c>
      <c r="H271" s="142" t="s">
        <v>1252</v>
      </c>
      <c r="I271" s="142" t="s">
        <v>1236</v>
      </c>
      <c r="J271" s="45">
        <v>1</v>
      </c>
    </row>
    <row r="272" spans="1:10" s="34" customFormat="1">
      <c r="A272" s="138">
        <v>33</v>
      </c>
      <c r="B272" s="139" t="s">
        <v>1582</v>
      </c>
      <c r="C272" s="140">
        <v>5</v>
      </c>
      <c r="D272" s="139" t="s">
        <v>1567</v>
      </c>
      <c r="E272" s="141" t="s">
        <v>1187</v>
      </c>
      <c r="F272" s="143">
        <v>43</v>
      </c>
      <c r="G272" s="139" t="s">
        <v>981</v>
      </c>
      <c r="H272" s="142" t="s">
        <v>1252</v>
      </c>
      <c r="I272" s="142" t="s">
        <v>1236</v>
      </c>
      <c r="J272" s="45">
        <v>1</v>
      </c>
    </row>
    <row r="273" spans="1:10" s="34" customFormat="1">
      <c r="A273" s="138">
        <v>192</v>
      </c>
      <c r="B273" s="139" t="s">
        <v>1582</v>
      </c>
      <c r="C273" s="140">
        <v>5</v>
      </c>
      <c r="D273" s="139" t="s">
        <v>1646</v>
      </c>
      <c r="E273" s="141" t="s">
        <v>1287</v>
      </c>
      <c r="F273" s="143">
        <v>43</v>
      </c>
      <c r="G273" s="139" t="s">
        <v>995</v>
      </c>
      <c r="H273" s="142" t="s">
        <v>1252</v>
      </c>
      <c r="I273" s="142" t="s">
        <v>1236</v>
      </c>
      <c r="J273" s="45">
        <v>1</v>
      </c>
    </row>
    <row r="274" spans="1:10" s="34" customFormat="1">
      <c r="A274" s="44">
        <v>38</v>
      </c>
      <c r="B274" s="113" t="s">
        <v>567</v>
      </c>
      <c r="C274" s="114">
        <v>3</v>
      </c>
      <c r="D274" s="113" t="s">
        <v>1623</v>
      </c>
      <c r="E274" s="108" t="s">
        <v>1190</v>
      </c>
      <c r="F274" s="49">
        <v>44</v>
      </c>
      <c r="G274" s="113" t="s">
        <v>587</v>
      </c>
      <c r="H274" s="137" t="s">
        <v>1344</v>
      </c>
      <c r="I274" s="137" t="s">
        <v>1190</v>
      </c>
      <c r="J274" s="45">
        <v>2</v>
      </c>
    </row>
    <row r="275" spans="1:10" s="34" customFormat="1">
      <c r="A275" s="138">
        <v>152</v>
      </c>
      <c r="B275" s="139" t="s">
        <v>943</v>
      </c>
      <c r="C275" s="140">
        <v>5</v>
      </c>
      <c r="D275" s="139" t="s">
        <v>1553</v>
      </c>
      <c r="E275" s="141" t="s">
        <v>1263</v>
      </c>
      <c r="F275" s="143">
        <v>45</v>
      </c>
      <c r="G275" s="139" t="s">
        <v>1009</v>
      </c>
      <c r="H275" s="142" t="s">
        <v>1263</v>
      </c>
      <c r="I275" s="142" t="s">
        <v>1223</v>
      </c>
      <c r="J275" s="45">
        <v>1</v>
      </c>
    </row>
    <row r="276" spans="1:10" s="34" customFormat="1">
      <c r="A276" s="44">
        <v>156</v>
      </c>
      <c r="B276" s="152" t="s">
        <v>1597</v>
      </c>
      <c r="C276" s="186">
        <v>1</v>
      </c>
      <c r="D276" s="152" t="s">
        <v>1553</v>
      </c>
      <c r="E276" s="155" t="s">
        <v>1265</v>
      </c>
      <c r="F276" s="187">
        <v>46</v>
      </c>
      <c r="G276" s="152" t="s">
        <v>994</v>
      </c>
      <c r="H276" s="137" t="s">
        <v>1206</v>
      </c>
      <c r="I276" s="137" t="s">
        <v>1349</v>
      </c>
      <c r="J276" s="45">
        <v>2</v>
      </c>
    </row>
    <row r="277" spans="1:10" s="34" customFormat="1">
      <c r="A277" s="44">
        <v>179</v>
      </c>
      <c r="B277" s="113" t="s">
        <v>1597</v>
      </c>
      <c r="C277" s="114">
        <v>2</v>
      </c>
      <c r="D277" s="113" t="s">
        <v>1643</v>
      </c>
      <c r="E277" s="108" t="s">
        <v>1281</v>
      </c>
      <c r="F277" s="49">
        <v>46</v>
      </c>
      <c r="G277" s="113" t="s">
        <v>587</v>
      </c>
      <c r="H277" s="137" t="s">
        <v>1206</v>
      </c>
      <c r="I277" s="137" t="s">
        <v>1349</v>
      </c>
      <c r="J277" s="45">
        <v>2</v>
      </c>
    </row>
    <row r="278" spans="1:10" s="34" customFormat="1">
      <c r="A278" s="44">
        <v>218</v>
      </c>
      <c r="B278" s="113" t="s">
        <v>1597</v>
      </c>
      <c r="C278" s="114">
        <v>2</v>
      </c>
      <c r="D278" s="113" t="s">
        <v>1651</v>
      </c>
      <c r="E278" s="108" t="s">
        <v>1305</v>
      </c>
      <c r="F278" s="49">
        <v>46</v>
      </c>
      <c r="G278" s="113" t="s">
        <v>590</v>
      </c>
      <c r="H278" s="137" t="s">
        <v>1206</v>
      </c>
      <c r="I278" s="137" t="s">
        <v>1349</v>
      </c>
      <c r="J278" s="45">
        <v>2</v>
      </c>
    </row>
    <row r="279" spans="1:10" s="34" customFormat="1">
      <c r="A279" s="44">
        <v>61</v>
      </c>
      <c r="B279" s="113" t="s">
        <v>1597</v>
      </c>
      <c r="C279" s="114">
        <v>3</v>
      </c>
      <c r="D279" s="113" t="s">
        <v>1555</v>
      </c>
      <c r="E279" s="108" t="s">
        <v>1206</v>
      </c>
      <c r="F279" s="49">
        <v>46</v>
      </c>
      <c r="G279" s="113" t="s">
        <v>601</v>
      </c>
      <c r="H279" s="137" t="s">
        <v>1206</v>
      </c>
      <c r="I279" s="137" t="s">
        <v>1349</v>
      </c>
      <c r="J279" s="45">
        <v>2</v>
      </c>
    </row>
    <row r="280" spans="1:10" s="34" customFormat="1">
      <c r="A280" s="44">
        <v>219</v>
      </c>
      <c r="B280" s="113" t="s">
        <v>1597</v>
      </c>
      <c r="C280" s="114">
        <v>3</v>
      </c>
      <c r="D280" s="113" t="s">
        <v>1651</v>
      </c>
      <c r="E280" s="108" t="s">
        <v>1306</v>
      </c>
      <c r="F280" s="49">
        <v>46</v>
      </c>
      <c r="G280" s="113" t="s">
        <v>587</v>
      </c>
      <c r="H280" s="137" t="s">
        <v>1206</v>
      </c>
      <c r="I280" s="137" t="s">
        <v>1349</v>
      </c>
      <c r="J280" s="45">
        <v>2</v>
      </c>
    </row>
    <row r="281" spans="1:10" s="34" customFormat="1">
      <c r="A281" s="115">
        <v>271</v>
      </c>
      <c r="B281" s="116" t="s">
        <v>1597</v>
      </c>
      <c r="C281" s="117">
        <v>3</v>
      </c>
      <c r="D281" s="116" t="s">
        <v>1665</v>
      </c>
      <c r="E281" s="108" t="s">
        <v>1337</v>
      </c>
      <c r="F281" s="49">
        <v>46</v>
      </c>
      <c r="G281" s="116" t="s">
        <v>593</v>
      </c>
      <c r="H281" s="137" t="s">
        <v>1206</v>
      </c>
      <c r="I281" s="137" t="s">
        <v>1349</v>
      </c>
      <c r="J281" s="45">
        <v>2</v>
      </c>
    </row>
    <row r="282" spans="1:10" s="34" customFormat="1">
      <c r="A282" s="115">
        <v>288</v>
      </c>
      <c r="B282" s="116" t="s">
        <v>1597</v>
      </c>
      <c r="C282" s="117">
        <v>3</v>
      </c>
      <c r="D282" s="116" t="s">
        <v>1668</v>
      </c>
      <c r="E282" s="108" t="s">
        <v>1347</v>
      </c>
      <c r="F282" s="49">
        <v>46</v>
      </c>
      <c r="G282" s="116" t="s">
        <v>590</v>
      </c>
      <c r="H282" s="137" t="s">
        <v>1206</v>
      </c>
      <c r="I282" s="137" t="s">
        <v>1349</v>
      </c>
      <c r="J282" s="45">
        <v>2</v>
      </c>
    </row>
    <row r="283" spans="1:10" s="34" customFormat="1">
      <c r="A283" s="44">
        <v>38</v>
      </c>
      <c r="B283" s="113" t="s">
        <v>1597</v>
      </c>
      <c r="C283" s="114">
        <v>4</v>
      </c>
      <c r="D283" s="113" t="s">
        <v>1623</v>
      </c>
      <c r="E283" s="108" t="s">
        <v>1190</v>
      </c>
      <c r="F283" s="49">
        <v>46</v>
      </c>
      <c r="G283" s="113" t="s">
        <v>587</v>
      </c>
      <c r="H283" s="137" t="s">
        <v>1206</v>
      </c>
      <c r="I283" s="137" t="s">
        <v>1349</v>
      </c>
      <c r="J283" s="45">
        <v>2</v>
      </c>
    </row>
    <row r="284" spans="1:10" s="34" customFormat="1">
      <c r="A284" s="44">
        <v>152</v>
      </c>
      <c r="B284" s="113" t="s">
        <v>1597</v>
      </c>
      <c r="C284" s="114">
        <v>4</v>
      </c>
      <c r="D284" s="113" t="s">
        <v>1553</v>
      </c>
      <c r="E284" s="108" t="s">
        <v>1263</v>
      </c>
      <c r="F284" s="49">
        <v>46</v>
      </c>
      <c r="G284" s="113" t="s">
        <v>1009</v>
      </c>
      <c r="H284" s="137" t="s">
        <v>1206</v>
      </c>
      <c r="I284" s="137" t="s">
        <v>1349</v>
      </c>
      <c r="J284" s="45">
        <v>2</v>
      </c>
    </row>
    <row r="285" spans="1:10" s="34" customFormat="1">
      <c r="A285" s="44">
        <v>193</v>
      </c>
      <c r="B285" s="113" t="s">
        <v>1597</v>
      </c>
      <c r="C285" s="114">
        <v>5</v>
      </c>
      <c r="D285" s="113" t="s">
        <v>1647</v>
      </c>
      <c r="E285" s="108" t="s">
        <v>1288</v>
      </c>
      <c r="F285" s="49">
        <v>46</v>
      </c>
      <c r="G285" s="113" t="s">
        <v>1015</v>
      </c>
      <c r="H285" s="137" t="s">
        <v>1206</v>
      </c>
      <c r="I285" s="137" t="s">
        <v>1349</v>
      </c>
      <c r="J285" s="45">
        <v>2</v>
      </c>
    </row>
    <row r="286" spans="1:10" s="34" customFormat="1">
      <c r="A286" s="138">
        <v>122</v>
      </c>
      <c r="B286" s="153" t="s">
        <v>1602</v>
      </c>
      <c r="C286" s="192">
        <v>1</v>
      </c>
      <c r="D286" s="153" t="s">
        <v>1553</v>
      </c>
      <c r="E286" s="193" t="s">
        <v>1248</v>
      </c>
      <c r="F286" s="194">
        <v>47</v>
      </c>
      <c r="G286" s="153" t="s">
        <v>1013</v>
      </c>
      <c r="H286" s="195" t="s">
        <v>1348</v>
      </c>
      <c r="I286" s="195" t="s">
        <v>1327</v>
      </c>
      <c r="J286" s="45">
        <v>1</v>
      </c>
    </row>
    <row r="287" spans="1:10" s="34" customFormat="1">
      <c r="A287" s="138">
        <v>125</v>
      </c>
      <c r="B287" s="153" t="s">
        <v>1602</v>
      </c>
      <c r="C287" s="192">
        <v>1</v>
      </c>
      <c r="D287" s="153" t="s">
        <v>1553</v>
      </c>
      <c r="E287" s="193" t="s">
        <v>1251</v>
      </c>
      <c r="F287" s="194">
        <v>47</v>
      </c>
      <c r="G287" s="153" t="s">
        <v>980</v>
      </c>
      <c r="H287" s="195" t="s">
        <v>1348</v>
      </c>
      <c r="I287" s="195" t="s">
        <v>1327</v>
      </c>
      <c r="J287" s="45">
        <v>1</v>
      </c>
    </row>
    <row r="288" spans="1:10" s="34" customFormat="1">
      <c r="A288" s="138">
        <v>223</v>
      </c>
      <c r="B288" s="153" t="s">
        <v>1602</v>
      </c>
      <c r="C288" s="192">
        <v>1</v>
      </c>
      <c r="D288" s="153" t="s">
        <v>1562</v>
      </c>
      <c r="E288" s="193" t="s">
        <v>1431</v>
      </c>
      <c r="F288" s="194">
        <v>47</v>
      </c>
      <c r="G288" s="153" t="s">
        <v>1425</v>
      </c>
      <c r="H288" s="195" t="s">
        <v>1348</v>
      </c>
      <c r="I288" s="195" t="s">
        <v>1327</v>
      </c>
      <c r="J288" s="45">
        <v>1</v>
      </c>
    </row>
    <row r="289" spans="1:10" s="34" customFormat="1">
      <c r="A289" s="138">
        <v>290</v>
      </c>
      <c r="B289" s="153" t="s">
        <v>1602</v>
      </c>
      <c r="C289" s="192">
        <v>1</v>
      </c>
      <c r="D289" s="153" t="s">
        <v>1668</v>
      </c>
      <c r="E289" s="193" t="s">
        <v>1349</v>
      </c>
      <c r="F289" s="194">
        <v>47</v>
      </c>
      <c r="G289" s="153" t="s">
        <v>1019</v>
      </c>
      <c r="H289" s="195" t="s">
        <v>1348</v>
      </c>
      <c r="I289" s="195" t="s">
        <v>1327</v>
      </c>
      <c r="J289" s="45">
        <v>1</v>
      </c>
    </row>
    <row r="290" spans="1:10" s="34" customFormat="1">
      <c r="A290" s="138">
        <v>59</v>
      </c>
      <c r="B290" s="139" t="s">
        <v>1602</v>
      </c>
      <c r="C290" s="140">
        <v>2</v>
      </c>
      <c r="D290" s="139" t="s">
        <v>1630</v>
      </c>
      <c r="E290" s="141" t="s">
        <v>1205</v>
      </c>
      <c r="F290" s="143">
        <v>47</v>
      </c>
      <c r="G290" s="139" t="s">
        <v>1032</v>
      </c>
      <c r="H290" s="142" t="s">
        <v>1348</v>
      </c>
      <c r="I290" s="142" t="s">
        <v>1327</v>
      </c>
      <c r="J290" s="45">
        <v>1</v>
      </c>
    </row>
    <row r="291" spans="1:10" s="34" customFormat="1">
      <c r="A291" s="138">
        <v>156</v>
      </c>
      <c r="B291" s="139" t="s">
        <v>1602</v>
      </c>
      <c r="C291" s="140">
        <v>2</v>
      </c>
      <c r="D291" s="139" t="s">
        <v>1553</v>
      </c>
      <c r="E291" s="141" t="s">
        <v>1265</v>
      </c>
      <c r="F291" s="143">
        <v>47</v>
      </c>
      <c r="G291" s="139" t="s">
        <v>994</v>
      </c>
      <c r="H291" s="142" t="s">
        <v>1348</v>
      </c>
      <c r="I291" s="142" t="s">
        <v>1327</v>
      </c>
      <c r="J291" s="45">
        <v>1</v>
      </c>
    </row>
    <row r="292" spans="1:10" s="34" customFormat="1">
      <c r="A292" s="138">
        <v>288</v>
      </c>
      <c r="B292" s="139" t="s">
        <v>1602</v>
      </c>
      <c r="C292" s="140">
        <v>2</v>
      </c>
      <c r="D292" s="139" t="s">
        <v>1668</v>
      </c>
      <c r="E292" s="141" t="s">
        <v>1347</v>
      </c>
      <c r="F292" s="143">
        <v>47</v>
      </c>
      <c r="G292" s="139" t="s">
        <v>590</v>
      </c>
      <c r="H292" s="142" t="s">
        <v>1348</v>
      </c>
      <c r="I292" s="142" t="s">
        <v>1327</v>
      </c>
      <c r="J292" s="45">
        <v>1</v>
      </c>
    </row>
    <row r="293" spans="1:10" s="34" customFormat="1">
      <c r="A293" s="138">
        <v>47</v>
      </c>
      <c r="B293" s="139" t="s">
        <v>1602</v>
      </c>
      <c r="C293" s="140">
        <v>3</v>
      </c>
      <c r="D293" s="139" t="s">
        <v>1624</v>
      </c>
      <c r="E293" s="141" t="s">
        <v>1199</v>
      </c>
      <c r="F293" s="143">
        <v>47</v>
      </c>
      <c r="G293" s="139" t="s">
        <v>587</v>
      </c>
      <c r="H293" s="142" t="s">
        <v>1348</v>
      </c>
      <c r="I293" s="142" t="s">
        <v>1327</v>
      </c>
      <c r="J293" s="45">
        <v>1</v>
      </c>
    </row>
    <row r="294" spans="1:10" s="34" customFormat="1">
      <c r="A294" s="44">
        <v>85</v>
      </c>
      <c r="B294" s="152" t="s">
        <v>1601</v>
      </c>
      <c r="C294" s="186">
        <v>1</v>
      </c>
      <c r="D294" s="152" t="s">
        <v>1558</v>
      </c>
      <c r="E294" s="155" t="s">
        <v>1223</v>
      </c>
      <c r="F294" s="187">
        <v>48</v>
      </c>
      <c r="G294" s="152" t="s">
        <v>589</v>
      </c>
      <c r="H294" s="137">
        <v>0</v>
      </c>
      <c r="I294" s="137">
        <v>0</v>
      </c>
      <c r="J294" s="45">
        <v>2</v>
      </c>
    </row>
    <row r="295" spans="1:10" s="34" customFormat="1">
      <c r="A295" s="115">
        <v>288</v>
      </c>
      <c r="B295" s="154" t="s">
        <v>1601</v>
      </c>
      <c r="C295" s="197">
        <v>1</v>
      </c>
      <c r="D295" s="154" t="s">
        <v>1668</v>
      </c>
      <c r="E295" s="155" t="s">
        <v>1347</v>
      </c>
      <c r="F295" s="187">
        <v>48</v>
      </c>
      <c r="G295" s="154" t="s">
        <v>590</v>
      </c>
      <c r="H295" s="137">
        <v>0</v>
      </c>
      <c r="I295" s="137">
        <v>0</v>
      </c>
      <c r="J295" s="45">
        <v>2</v>
      </c>
    </row>
    <row r="296" spans="1:10" s="34" customFormat="1">
      <c r="A296" s="44">
        <v>223</v>
      </c>
      <c r="B296" s="113" t="s">
        <v>1601</v>
      </c>
      <c r="C296" s="114">
        <v>2</v>
      </c>
      <c r="D296" s="113" t="s">
        <v>1562</v>
      </c>
      <c r="E296" s="108" t="s">
        <v>1431</v>
      </c>
      <c r="F296" s="49">
        <v>48</v>
      </c>
      <c r="G296" s="113" t="s">
        <v>1425</v>
      </c>
      <c r="H296" s="137">
        <v>0</v>
      </c>
      <c r="I296" s="137">
        <v>0</v>
      </c>
      <c r="J296" s="45">
        <v>2</v>
      </c>
    </row>
    <row r="297" spans="1:10" s="34" customFormat="1">
      <c r="A297" s="44">
        <v>67</v>
      </c>
      <c r="B297" s="113" t="s">
        <v>1601</v>
      </c>
      <c r="C297" s="114">
        <v>3</v>
      </c>
      <c r="D297" s="113" t="s">
        <v>1555</v>
      </c>
      <c r="E297" s="108" t="s">
        <v>1210</v>
      </c>
      <c r="F297" s="49">
        <v>48</v>
      </c>
      <c r="G297" s="113" t="s">
        <v>986</v>
      </c>
      <c r="H297" s="137">
        <v>0</v>
      </c>
      <c r="I297" s="137">
        <v>0</v>
      </c>
      <c r="J297" s="45">
        <v>2</v>
      </c>
    </row>
    <row r="298" spans="1:10" s="34" customFormat="1">
      <c r="A298" s="44">
        <v>102</v>
      </c>
      <c r="B298" s="113" t="s">
        <v>1601</v>
      </c>
      <c r="C298" s="114">
        <v>3</v>
      </c>
      <c r="D298" s="113" t="s">
        <v>18</v>
      </c>
      <c r="E298" s="108" t="s">
        <v>1428</v>
      </c>
      <c r="F298" s="49">
        <v>48</v>
      </c>
      <c r="G298" s="113" t="s">
        <v>1427</v>
      </c>
      <c r="H298" s="137">
        <v>0</v>
      </c>
      <c r="I298" s="137">
        <v>0</v>
      </c>
      <c r="J298" s="45">
        <v>2</v>
      </c>
    </row>
    <row r="299" spans="1:10" s="34" customFormat="1">
      <c r="A299" s="44">
        <v>179</v>
      </c>
      <c r="B299" s="113" t="s">
        <v>1601</v>
      </c>
      <c r="C299" s="114">
        <v>3</v>
      </c>
      <c r="D299" s="113" t="s">
        <v>1643</v>
      </c>
      <c r="E299" s="108" t="s">
        <v>1281</v>
      </c>
      <c r="F299" s="49">
        <v>48</v>
      </c>
      <c r="G299" s="113" t="s">
        <v>587</v>
      </c>
      <c r="H299" s="137">
        <v>0</v>
      </c>
      <c r="I299" s="137">
        <v>0</v>
      </c>
      <c r="J299" s="45">
        <v>2</v>
      </c>
    </row>
    <row r="300" spans="1:10" s="34" customFormat="1">
      <c r="A300" s="44">
        <v>122</v>
      </c>
      <c r="B300" s="113" t="s">
        <v>1601</v>
      </c>
      <c r="C300" s="114">
        <v>5</v>
      </c>
      <c r="D300" s="113" t="s">
        <v>1553</v>
      </c>
      <c r="E300" s="108" t="s">
        <v>1248</v>
      </c>
      <c r="F300" s="49">
        <v>48</v>
      </c>
      <c r="G300" s="113" t="s">
        <v>1013</v>
      </c>
      <c r="H300" s="137">
        <v>0</v>
      </c>
      <c r="I300" s="137">
        <v>0</v>
      </c>
      <c r="J300" s="45">
        <v>2</v>
      </c>
    </row>
    <row r="301" spans="1:10" s="34" customFormat="1">
      <c r="A301" s="44">
        <v>46</v>
      </c>
      <c r="B301" s="113" t="s">
        <v>1601</v>
      </c>
      <c r="C301" s="114">
        <v>6</v>
      </c>
      <c r="D301" s="113" t="s">
        <v>1624</v>
      </c>
      <c r="E301" s="108" t="s">
        <v>1198</v>
      </c>
      <c r="F301" s="49">
        <v>48</v>
      </c>
      <c r="G301" s="113" t="s">
        <v>596</v>
      </c>
      <c r="H301" s="137">
        <v>0</v>
      </c>
      <c r="I301" s="137">
        <v>0</v>
      </c>
      <c r="J301" s="45">
        <v>2</v>
      </c>
    </row>
    <row r="302" spans="1:10" s="34" customFormat="1">
      <c r="A302" s="138">
        <v>107</v>
      </c>
      <c r="B302" s="153" t="s">
        <v>1591</v>
      </c>
      <c r="C302" s="192">
        <v>1</v>
      </c>
      <c r="D302" s="153" t="s">
        <v>1551</v>
      </c>
      <c r="E302" s="193" t="s">
        <v>1239</v>
      </c>
      <c r="F302" s="194">
        <v>49</v>
      </c>
      <c r="G302" s="153" t="s">
        <v>587</v>
      </c>
      <c r="H302" s="195" t="s">
        <v>1256</v>
      </c>
      <c r="I302" s="195" t="s">
        <v>1290</v>
      </c>
      <c r="J302" s="45">
        <v>1</v>
      </c>
    </row>
    <row r="303" spans="1:10" s="34" customFormat="1">
      <c r="A303" s="138">
        <v>271</v>
      </c>
      <c r="B303" s="153" t="s">
        <v>1591</v>
      </c>
      <c r="C303" s="192">
        <v>1</v>
      </c>
      <c r="D303" s="153" t="s">
        <v>1665</v>
      </c>
      <c r="E303" s="193" t="s">
        <v>1337</v>
      </c>
      <c r="F303" s="194">
        <v>49</v>
      </c>
      <c r="G303" s="153" t="s">
        <v>593</v>
      </c>
      <c r="H303" s="195" t="s">
        <v>1256</v>
      </c>
      <c r="I303" s="195" t="s">
        <v>1290</v>
      </c>
      <c r="J303" s="45">
        <v>1</v>
      </c>
    </row>
    <row r="304" spans="1:10" s="34" customFormat="1">
      <c r="A304" s="138">
        <v>275</v>
      </c>
      <c r="B304" s="153" t="s">
        <v>1591</v>
      </c>
      <c r="C304" s="192">
        <v>1</v>
      </c>
      <c r="D304" s="153" t="s">
        <v>1563</v>
      </c>
      <c r="E304" s="193" t="s">
        <v>1340</v>
      </c>
      <c r="F304" s="194">
        <v>49</v>
      </c>
      <c r="G304" s="153" t="s">
        <v>1029</v>
      </c>
      <c r="H304" s="195" t="s">
        <v>1256</v>
      </c>
      <c r="I304" s="195" t="s">
        <v>1290</v>
      </c>
      <c r="J304" s="45">
        <v>1</v>
      </c>
    </row>
    <row r="305" spans="1:10" s="34" customFormat="1">
      <c r="A305" s="138">
        <v>291</v>
      </c>
      <c r="B305" s="153" t="s">
        <v>1591</v>
      </c>
      <c r="C305" s="192">
        <v>1</v>
      </c>
      <c r="D305" s="153" t="s">
        <v>1562</v>
      </c>
      <c r="E305" s="193" t="s">
        <v>1350</v>
      </c>
      <c r="F305" s="194">
        <v>49</v>
      </c>
      <c r="G305" s="153" t="s">
        <v>1008</v>
      </c>
      <c r="H305" s="195" t="s">
        <v>1256</v>
      </c>
      <c r="I305" s="195" t="s">
        <v>1290</v>
      </c>
      <c r="J305" s="45">
        <v>1</v>
      </c>
    </row>
    <row r="306" spans="1:10" s="34" customFormat="1">
      <c r="A306" s="138">
        <v>30</v>
      </c>
      <c r="B306" s="139" t="s">
        <v>1591</v>
      </c>
      <c r="C306" s="140">
        <v>2</v>
      </c>
      <c r="D306" s="139" t="s">
        <v>1622</v>
      </c>
      <c r="E306" s="141" t="s">
        <v>1184</v>
      </c>
      <c r="F306" s="143">
        <v>49</v>
      </c>
      <c r="G306" s="139" t="s">
        <v>971</v>
      </c>
      <c r="H306" s="142" t="s">
        <v>1256</v>
      </c>
      <c r="I306" s="142" t="s">
        <v>1290</v>
      </c>
      <c r="J306" s="45">
        <v>1</v>
      </c>
    </row>
    <row r="307" spans="1:10" s="34" customFormat="1">
      <c r="A307" s="138">
        <v>36</v>
      </c>
      <c r="B307" s="139" t="s">
        <v>1591</v>
      </c>
      <c r="C307" s="140">
        <v>2</v>
      </c>
      <c r="D307" s="139" t="s">
        <v>1567</v>
      </c>
      <c r="E307" s="141" t="s">
        <v>1189</v>
      </c>
      <c r="F307" s="143">
        <v>49</v>
      </c>
      <c r="G307" s="139" t="s">
        <v>593</v>
      </c>
      <c r="H307" s="142" t="s">
        <v>1256</v>
      </c>
      <c r="I307" s="142" t="s">
        <v>1290</v>
      </c>
      <c r="J307" s="45">
        <v>1</v>
      </c>
    </row>
    <row r="308" spans="1:10" s="34" customFormat="1">
      <c r="A308" s="138">
        <v>51</v>
      </c>
      <c r="B308" s="139" t="s">
        <v>1591</v>
      </c>
      <c r="C308" s="140">
        <v>2</v>
      </c>
      <c r="D308" s="139" t="s">
        <v>1627</v>
      </c>
      <c r="E308" s="141" t="s">
        <v>1201</v>
      </c>
      <c r="F308" s="143">
        <v>49</v>
      </c>
      <c r="G308" s="139" t="s">
        <v>983</v>
      </c>
      <c r="H308" s="142" t="s">
        <v>1256</v>
      </c>
      <c r="I308" s="142" t="s">
        <v>1290</v>
      </c>
      <c r="J308" s="45">
        <v>1</v>
      </c>
    </row>
    <row r="309" spans="1:10" s="34" customFormat="1">
      <c r="A309" s="138">
        <v>210</v>
      </c>
      <c r="B309" s="139" t="s">
        <v>1591</v>
      </c>
      <c r="C309" s="140">
        <v>3</v>
      </c>
      <c r="D309" s="139" t="s">
        <v>1649</v>
      </c>
      <c r="E309" s="141" t="s">
        <v>1299</v>
      </c>
      <c r="F309" s="143">
        <v>49</v>
      </c>
      <c r="G309" s="139" t="s">
        <v>587</v>
      </c>
      <c r="H309" s="142" t="s">
        <v>1256</v>
      </c>
      <c r="I309" s="142" t="s">
        <v>1290</v>
      </c>
      <c r="J309" s="45">
        <v>1</v>
      </c>
    </row>
    <row r="310" spans="1:10" s="34" customFormat="1">
      <c r="A310" s="138">
        <v>135</v>
      </c>
      <c r="B310" s="139" t="s">
        <v>1591</v>
      </c>
      <c r="C310" s="140">
        <v>5</v>
      </c>
      <c r="D310" s="139" t="s">
        <v>1553</v>
      </c>
      <c r="E310" s="141" t="s">
        <v>1256</v>
      </c>
      <c r="F310" s="143">
        <v>49</v>
      </c>
      <c r="G310" s="139" t="s">
        <v>597</v>
      </c>
      <c r="H310" s="142" t="s">
        <v>1256</v>
      </c>
      <c r="I310" s="142" t="s">
        <v>1290</v>
      </c>
      <c r="J310" s="45">
        <v>1</v>
      </c>
    </row>
    <row r="311" spans="1:10" s="34" customFormat="1">
      <c r="A311" s="138">
        <v>196</v>
      </c>
      <c r="B311" s="139" t="s">
        <v>1591</v>
      </c>
      <c r="C311" s="140">
        <v>5</v>
      </c>
      <c r="D311" s="139" t="s">
        <v>1648</v>
      </c>
      <c r="E311" s="141" t="s">
        <v>1291</v>
      </c>
      <c r="F311" s="143">
        <v>49</v>
      </c>
      <c r="G311" s="139" t="s">
        <v>999</v>
      </c>
      <c r="H311" s="142" t="s">
        <v>1256</v>
      </c>
      <c r="I311" s="142" t="s">
        <v>1290</v>
      </c>
      <c r="J311" s="45">
        <v>1</v>
      </c>
    </row>
    <row r="312" spans="1:10" s="34" customFormat="1">
      <c r="A312" s="44">
        <v>33</v>
      </c>
      <c r="B312" s="152" t="s">
        <v>559</v>
      </c>
      <c r="C312" s="186">
        <v>1</v>
      </c>
      <c r="D312" s="152" t="s">
        <v>1567</v>
      </c>
      <c r="E312" s="155" t="s">
        <v>1187</v>
      </c>
      <c r="F312" s="187">
        <v>50</v>
      </c>
      <c r="G312" s="152" t="s">
        <v>981</v>
      </c>
      <c r="H312" s="137" t="s">
        <v>1187</v>
      </c>
      <c r="I312" s="137" t="s">
        <v>1284</v>
      </c>
      <c r="J312" s="45">
        <v>2</v>
      </c>
    </row>
    <row r="313" spans="1:10" s="34" customFormat="1">
      <c r="A313" s="44">
        <v>89</v>
      </c>
      <c r="B313" s="152" t="s">
        <v>559</v>
      </c>
      <c r="C313" s="186">
        <v>1</v>
      </c>
      <c r="D313" s="152" t="s">
        <v>1636</v>
      </c>
      <c r="E313" s="155" t="s">
        <v>1227</v>
      </c>
      <c r="F313" s="187">
        <v>50</v>
      </c>
      <c r="G313" s="152" t="s">
        <v>602</v>
      </c>
      <c r="H313" s="137" t="s">
        <v>1187</v>
      </c>
      <c r="I313" s="137" t="s">
        <v>1284</v>
      </c>
      <c r="J313" s="45">
        <v>2</v>
      </c>
    </row>
    <row r="314" spans="1:10" s="34" customFormat="1">
      <c r="A314" s="115">
        <v>272</v>
      </c>
      <c r="B314" s="116" t="s">
        <v>559</v>
      </c>
      <c r="C314" s="117">
        <v>2</v>
      </c>
      <c r="D314" s="116" t="s">
        <v>1666</v>
      </c>
      <c r="E314" s="108" t="s">
        <v>1338</v>
      </c>
      <c r="F314" s="49">
        <v>50</v>
      </c>
      <c r="G314" s="116" t="s">
        <v>587</v>
      </c>
      <c r="H314" s="137" t="s">
        <v>1187</v>
      </c>
      <c r="I314" s="137" t="s">
        <v>1284</v>
      </c>
      <c r="J314" s="45">
        <v>2</v>
      </c>
    </row>
    <row r="315" spans="1:10" s="34" customFormat="1">
      <c r="A315" s="115">
        <v>291</v>
      </c>
      <c r="B315" s="116" t="s">
        <v>559</v>
      </c>
      <c r="C315" s="117">
        <v>2</v>
      </c>
      <c r="D315" s="116" t="s">
        <v>1562</v>
      </c>
      <c r="E315" s="108" t="s">
        <v>1350</v>
      </c>
      <c r="F315" s="49">
        <v>50</v>
      </c>
      <c r="G315" s="116" t="s">
        <v>1008</v>
      </c>
      <c r="H315" s="137" t="s">
        <v>1187</v>
      </c>
      <c r="I315" s="137" t="s">
        <v>1284</v>
      </c>
      <c r="J315" s="45">
        <v>2</v>
      </c>
    </row>
    <row r="316" spans="1:10" s="34" customFormat="1">
      <c r="A316" s="44">
        <v>12</v>
      </c>
      <c r="B316" s="113" t="s">
        <v>559</v>
      </c>
      <c r="C316" s="114">
        <v>3</v>
      </c>
      <c r="D316" s="113" t="s">
        <v>1620</v>
      </c>
      <c r="E316" s="108" t="s">
        <v>1176</v>
      </c>
      <c r="F316" s="49">
        <v>50</v>
      </c>
      <c r="G316" s="113" t="s">
        <v>587</v>
      </c>
      <c r="H316" s="137" t="s">
        <v>1187</v>
      </c>
      <c r="I316" s="137" t="s">
        <v>1284</v>
      </c>
      <c r="J316" s="45">
        <v>2</v>
      </c>
    </row>
    <row r="317" spans="1:10" s="34" customFormat="1">
      <c r="A317" s="44">
        <v>59</v>
      </c>
      <c r="B317" s="113" t="s">
        <v>559</v>
      </c>
      <c r="C317" s="114">
        <v>3</v>
      </c>
      <c r="D317" s="113" t="s">
        <v>1630</v>
      </c>
      <c r="E317" s="108" t="s">
        <v>1205</v>
      </c>
      <c r="F317" s="49">
        <v>50</v>
      </c>
      <c r="G317" s="113" t="s">
        <v>1032</v>
      </c>
      <c r="H317" s="137" t="s">
        <v>1187</v>
      </c>
      <c r="I317" s="137" t="s">
        <v>1284</v>
      </c>
      <c r="J317" s="45">
        <v>2</v>
      </c>
    </row>
    <row r="318" spans="1:10" s="34" customFormat="1">
      <c r="A318" s="44">
        <v>133</v>
      </c>
      <c r="B318" s="113" t="s">
        <v>559</v>
      </c>
      <c r="C318" s="114">
        <v>3</v>
      </c>
      <c r="D318" s="113" t="s">
        <v>1553</v>
      </c>
      <c r="E318" s="108" t="s">
        <v>1255</v>
      </c>
      <c r="F318" s="49">
        <v>50</v>
      </c>
      <c r="G318" s="113" t="s">
        <v>1020</v>
      </c>
      <c r="H318" s="137" t="s">
        <v>1187</v>
      </c>
      <c r="I318" s="137" t="s">
        <v>1284</v>
      </c>
      <c r="J318" s="45">
        <v>2</v>
      </c>
    </row>
    <row r="319" spans="1:10" s="34" customFormat="1">
      <c r="A319" s="138">
        <v>89</v>
      </c>
      <c r="B319" s="139" t="s">
        <v>560</v>
      </c>
      <c r="C319" s="140">
        <v>2</v>
      </c>
      <c r="D319" s="139" t="s">
        <v>1636</v>
      </c>
      <c r="E319" s="141" t="s">
        <v>1227</v>
      </c>
      <c r="F319" s="143">
        <v>51</v>
      </c>
      <c r="G319" s="139" t="s">
        <v>602</v>
      </c>
      <c r="H319" s="142" t="s">
        <v>1240</v>
      </c>
      <c r="I319" s="142" t="s">
        <v>1338</v>
      </c>
      <c r="J319" s="45">
        <v>1</v>
      </c>
    </row>
    <row r="320" spans="1:10" s="34" customFormat="1">
      <c r="A320" s="138">
        <v>291</v>
      </c>
      <c r="B320" s="139" t="s">
        <v>560</v>
      </c>
      <c r="C320" s="140">
        <v>3</v>
      </c>
      <c r="D320" s="139" t="s">
        <v>1562</v>
      </c>
      <c r="E320" s="141" t="s">
        <v>1350</v>
      </c>
      <c r="F320" s="143">
        <v>51</v>
      </c>
      <c r="G320" s="139" t="s">
        <v>1008</v>
      </c>
      <c r="H320" s="142" t="s">
        <v>1240</v>
      </c>
      <c r="I320" s="142" t="s">
        <v>1338</v>
      </c>
      <c r="J320" s="45">
        <v>1</v>
      </c>
    </row>
    <row r="321" spans="1:10" s="34" customFormat="1">
      <c r="A321" s="138">
        <v>33</v>
      </c>
      <c r="B321" s="139" t="s">
        <v>560</v>
      </c>
      <c r="C321" s="140">
        <v>4</v>
      </c>
      <c r="D321" s="139" t="s">
        <v>1567</v>
      </c>
      <c r="E321" s="141" t="s">
        <v>1187</v>
      </c>
      <c r="F321" s="143">
        <v>51</v>
      </c>
      <c r="G321" s="139" t="s">
        <v>981</v>
      </c>
      <c r="H321" s="142" t="s">
        <v>1240</v>
      </c>
      <c r="I321" s="142" t="s">
        <v>1338</v>
      </c>
      <c r="J321" s="45">
        <v>1</v>
      </c>
    </row>
    <row r="322" spans="1:10" s="34" customFormat="1">
      <c r="A322" s="138">
        <v>51</v>
      </c>
      <c r="B322" s="139" t="s">
        <v>560</v>
      </c>
      <c r="C322" s="140">
        <v>4</v>
      </c>
      <c r="D322" s="139" t="s">
        <v>1627</v>
      </c>
      <c r="E322" s="141" t="s">
        <v>1201</v>
      </c>
      <c r="F322" s="143">
        <v>51</v>
      </c>
      <c r="G322" s="139" t="s">
        <v>983</v>
      </c>
      <c r="H322" s="142" t="s">
        <v>1240</v>
      </c>
      <c r="I322" s="142" t="s">
        <v>1338</v>
      </c>
      <c r="J322" s="45">
        <v>1</v>
      </c>
    </row>
    <row r="323" spans="1:10" s="34" customFormat="1">
      <c r="A323" s="138">
        <v>36</v>
      </c>
      <c r="B323" s="139" t="s">
        <v>560</v>
      </c>
      <c r="C323" s="140">
        <v>5</v>
      </c>
      <c r="D323" s="139" t="s">
        <v>1567</v>
      </c>
      <c r="E323" s="141" t="s">
        <v>1189</v>
      </c>
      <c r="F323" s="143">
        <v>51</v>
      </c>
      <c r="G323" s="139" t="s">
        <v>593</v>
      </c>
      <c r="H323" s="142" t="s">
        <v>1240</v>
      </c>
      <c r="I323" s="142" t="s">
        <v>1338</v>
      </c>
      <c r="J323" s="45">
        <v>1</v>
      </c>
    </row>
    <row r="324" spans="1:10" s="34" customFormat="1">
      <c r="A324" s="44">
        <v>208</v>
      </c>
      <c r="B324" s="113" t="s">
        <v>561</v>
      </c>
      <c r="C324" s="114">
        <v>2</v>
      </c>
      <c r="D324" s="113" t="s">
        <v>1649</v>
      </c>
      <c r="E324" s="108" t="s">
        <v>1297</v>
      </c>
      <c r="F324" s="49">
        <v>52</v>
      </c>
      <c r="G324" s="113" t="s">
        <v>975</v>
      </c>
      <c r="H324" s="137" t="s">
        <v>1240</v>
      </c>
      <c r="I324" s="137" t="s">
        <v>1240</v>
      </c>
      <c r="J324" s="45">
        <v>2</v>
      </c>
    </row>
    <row r="325" spans="1:10" s="34" customFormat="1">
      <c r="A325" s="44">
        <v>36</v>
      </c>
      <c r="B325" s="113" t="s">
        <v>561</v>
      </c>
      <c r="C325" s="114">
        <v>4</v>
      </c>
      <c r="D325" s="113" t="s">
        <v>1567</v>
      </c>
      <c r="E325" s="108" t="s">
        <v>1189</v>
      </c>
      <c r="F325" s="49">
        <v>52</v>
      </c>
      <c r="G325" s="113" t="s">
        <v>593</v>
      </c>
      <c r="H325" s="137" t="s">
        <v>1240</v>
      </c>
      <c r="I325" s="137" t="s">
        <v>1240</v>
      </c>
      <c r="J325" s="45">
        <v>2</v>
      </c>
    </row>
    <row r="326" spans="1:10" s="34" customFormat="1">
      <c r="A326" s="138">
        <v>36</v>
      </c>
      <c r="B326" s="153" t="s">
        <v>562</v>
      </c>
      <c r="C326" s="192">
        <v>1</v>
      </c>
      <c r="D326" s="153" t="s">
        <v>1567</v>
      </c>
      <c r="E326" s="193" t="s">
        <v>1189</v>
      </c>
      <c r="F326" s="194">
        <v>53</v>
      </c>
      <c r="G326" s="153" t="s">
        <v>593</v>
      </c>
      <c r="H326" s="195" t="s">
        <v>1269</v>
      </c>
      <c r="I326" s="195" t="s">
        <v>1269</v>
      </c>
      <c r="J326" s="45">
        <v>1</v>
      </c>
    </row>
    <row r="327" spans="1:10" s="34" customFormat="1">
      <c r="A327" s="138">
        <v>124</v>
      </c>
      <c r="B327" s="153" t="s">
        <v>562</v>
      </c>
      <c r="C327" s="192">
        <v>1</v>
      </c>
      <c r="D327" s="153" t="s">
        <v>1553</v>
      </c>
      <c r="E327" s="193" t="s">
        <v>1418</v>
      </c>
      <c r="F327" s="194">
        <v>53</v>
      </c>
      <c r="G327" s="153" t="s">
        <v>1006</v>
      </c>
      <c r="H327" s="195" t="s">
        <v>1269</v>
      </c>
      <c r="I327" s="195" t="s">
        <v>1269</v>
      </c>
      <c r="J327" s="45">
        <v>1</v>
      </c>
    </row>
    <row r="328" spans="1:10" s="34" customFormat="1">
      <c r="A328" s="138">
        <v>161</v>
      </c>
      <c r="B328" s="153" t="s">
        <v>562</v>
      </c>
      <c r="C328" s="192">
        <v>1</v>
      </c>
      <c r="D328" s="153" t="s">
        <v>1553</v>
      </c>
      <c r="E328" s="193" t="s">
        <v>1269</v>
      </c>
      <c r="F328" s="194">
        <v>53</v>
      </c>
      <c r="G328" s="153" t="s">
        <v>587</v>
      </c>
      <c r="H328" s="195" t="s">
        <v>1269</v>
      </c>
      <c r="I328" s="195" t="s">
        <v>1269</v>
      </c>
      <c r="J328" s="45">
        <v>1</v>
      </c>
    </row>
    <row r="329" spans="1:10" s="34" customFormat="1">
      <c r="A329" s="138">
        <v>105</v>
      </c>
      <c r="B329" s="139" t="s">
        <v>562</v>
      </c>
      <c r="C329" s="140">
        <v>2</v>
      </c>
      <c r="D329" s="139" t="s">
        <v>1551</v>
      </c>
      <c r="E329" s="141" t="s">
        <v>1237</v>
      </c>
      <c r="F329" s="143">
        <v>53</v>
      </c>
      <c r="G329" s="139" t="s">
        <v>1022</v>
      </c>
      <c r="H329" s="142" t="s">
        <v>1269</v>
      </c>
      <c r="I329" s="142" t="s">
        <v>1269</v>
      </c>
      <c r="J329" s="45">
        <v>1</v>
      </c>
    </row>
    <row r="330" spans="1:10" s="34" customFormat="1">
      <c r="A330" s="138">
        <v>107</v>
      </c>
      <c r="B330" s="139" t="s">
        <v>562</v>
      </c>
      <c r="C330" s="140">
        <v>2</v>
      </c>
      <c r="D330" s="139" t="s">
        <v>1551</v>
      </c>
      <c r="E330" s="141" t="s">
        <v>1239</v>
      </c>
      <c r="F330" s="143">
        <v>53</v>
      </c>
      <c r="G330" s="139" t="s">
        <v>587</v>
      </c>
      <c r="H330" s="142" t="s">
        <v>1269</v>
      </c>
      <c r="I330" s="142" t="s">
        <v>1269</v>
      </c>
      <c r="J330" s="45">
        <v>1</v>
      </c>
    </row>
    <row r="331" spans="1:10" s="34" customFormat="1">
      <c r="A331" s="138">
        <v>70</v>
      </c>
      <c r="B331" s="139" t="s">
        <v>562</v>
      </c>
      <c r="C331" s="140">
        <v>3</v>
      </c>
      <c r="D331" s="139" t="s">
        <v>1555</v>
      </c>
      <c r="E331" s="141" t="s">
        <v>1213</v>
      </c>
      <c r="F331" s="143">
        <v>53</v>
      </c>
      <c r="G331" s="139" t="s">
        <v>587</v>
      </c>
      <c r="H331" s="142" t="s">
        <v>1269</v>
      </c>
      <c r="I331" s="142" t="s">
        <v>1269</v>
      </c>
      <c r="J331" s="45">
        <v>1</v>
      </c>
    </row>
    <row r="332" spans="1:10" s="34" customFormat="1">
      <c r="A332" s="138">
        <v>217</v>
      </c>
      <c r="B332" s="139" t="s">
        <v>562</v>
      </c>
      <c r="C332" s="140">
        <v>3</v>
      </c>
      <c r="D332" s="139" t="s">
        <v>1651</v>
      </c>
      <c r="E332" s="141" t="s">
        <v>1430</v>
      </c>
      <c r="F332" s="143">
        <v>53</v>
      </c>
      <c r="G332" s="139" t="s">
        <v>590</v>
      </c>
      <c r="H332" s="142" t="s">
        <v>1269</v>
      </c>
      <c r="I332" s="142" t="s">
        <v>1269</v>
      </c>
      <c r="J332" s="45">
        <v>1</v>
      </c>
    </row>
    <row r="333" spans="1:10" s="34" customFormat="1">
      <c r="A333" s="138">
        <v>145</v>
      </c>
      <c r="B333" s="139" t="s">
        <v>562</v>
      </c>
      <c r="C333" s="140">
        <v>4</v>
      </c>
      <c r="D333" s="139" t="s">
        <v>1553</v>
      </c>
      <c r="E333" s="141" t="s">
        <v>1261</v>
      </c>
      <c r="F333" s="143">
        <v>53</v>
      </c>
      <c r="G333" s="139" t="s">
        <v>601</v>
      </c>
      <c r="H333" s="142" t="s">
        <v>1269</v>
      </c>
      <c r="I333" s="142" t="s">
        <v>1269</v>
      </c>
      <c r="J333" s="45">
        <v>1</v>
      </c>
    </row>
    <row r="334" spans="1:10" s="34" customFormat="1">
      <c r="A334" s="138">
        <v>260</v>
      </c>
      <c r="B334" s="139" t="s">
        <v>562</v>
      </c>
      <c r="C334" s="140">
        <v>4</v>
      </c>
      <c r="D334" s="139" t="s">
        <v>1664</v>
      </c>
      <c r="E334" s="141" t="s">
        <v>1332</v>
      </c>
      <c r="F334" s="143">
        <v>53</v>
      </c>
      <c r="G334" s="139" t="s">
        <v>599</v>
      </c>
      <c r="H334" s="142" t="s">
        <v>1269</v>
      </c>
      <c r="I334" s="142" t="s">
        <v>1269</v>
      </c>
      <c r="J334" s="45">
        <v>1</v>
      </c>
    </row>
    <row r="335" spans="1:10" s="34" customFormat="1">
      <c r="A335" s="138">
        <v>68</v>
      </c>
      <c r="B335" s="139" t="s">
        <v>562</v>
      </c>
      <c r="C335" s="140">
        <v>5</v>
      </c>
      <c r="D335" s="139" t="s">
        <v>1555</v>
      </c>
      <c r="E335" s="141" t="s">
        <v>1211</v>
      </c>
      <c r="F335" s="143">
        <v>53</v>
      </c>
      <c r="G335" s="139" t="s">
        <v>1007</v>
      </c>
      <c r="H335" s="142" t="s">
        <v>1269</v>
      </c>
      <c r="I335" s="142" t="s">
        <v>1269</v>
      </c>
      <c r="J335" s="45">
        <v>1</v>
      </c>
    </row>
    <row r="336" spans="1:10" s="34" customFormat="1">
      <c r="A336" s="138">
        <v>219</v>
      </c>
      <c r="B336" s="139" t="s">
        <v>562</v>
      </c>
      <c r="C336" s="140">
        <v>5</v>
      </c>
      <c r="D336" s="139" t="s">
        <v>1651</v>
      </c>
      <c r="E336" s="141" t="s">
        <v>1306</v>
      </c>
      <c r="F336" s="143">
        <v>53</v>
      </c>
      <c r="G336" s="139" t="s">
        <v>587</v>
      </c>
      <c r="H336" s="142" t="s">
        <v>1269</v>
      </c>
      <c r="I336" s="142" t="s">
        <v>1269</v>
      </c>
      <c r="J336" s="45">
        <v>1</v>
      </c>
    </row>
    <row r="337" spans="1:10" s="34" customFormat="1">
      <c r="A337" s="138">
        <v>225</v>
      </c>
      <c r="B337" s="139" t="s">
        <v>562</v>
      </c>
      <c r="C337" s="140">
        <v>5</v>
      </c>
      <c r="D337" s="139" t="s">
        <v>1652</v>
      </c>
      <c r="E337" s="141" t="s">
        <v>1307</v>
      </c>
      <c r="F337" s="143">
        <v>53</v>
      </c>
      <c r="G337" s="139" t="s">
        <v>996</v>
      </c>
      <c r="H337" s="142" t="s">
        <v>1269</v>
      </c>
      <c r="I337" s="142" t="s">
        <v>1269</v>
      </c>
      <c r="J337" s="45">
        <v>1</v>
      </c>
    </row>
    <row r="338" spans="1:10" s="34" customFormat="1">
      <c r="A338" s="138">
        <v>173</v>
      </c>
      <c r="B338" s="139" t="s">
        <v>562</v>
      </c>
      <c r="C338" s="140">
        <v>6</v>
      </c>
      <c r="D338" s="139" t="s">
        <v>1641</v>
      </c>
      <c r="E338" s="141" t="s">
        <v>1277</v>
      </c>
      <c r="F338" s="143">
        <v>53</v>
      </c>
      <c r="G338" s="139" t="s">
        <v>589</v>
      </c>
      <c r="H338" s="142" t="s">
        <v>1269</v>
      </c>
      <c r="I338" s="142" t="s">
        <v>1269</v>
      </c>
      <c r="J338" s="45">
        <v>1</v>
      </c>
    </row>
    <row r="339" spans="1:10" s="34" customFormat="1">
      <c r="A339" s="44">
        <v>101</v>
      </c>
      <c r="B339" s="152" t="s">
        <v>1603</v>
      </c>
      <c r="C339" s="186">
        <v>1</v>
      </c>
      <c r="D339" s="152" t="s">
        <v>1551</v>
      </c>
      <c r="E339" s="155" t="s">
        <v>1234</v>
      </c>
      <c r="F339" s="187">
        <v>54</v>
      </c>
      <c r="G339" s="152" t="s">
        <v>1024</v>
      </c>
      <c r="H339" s="137" t="s">
        <v>1245</v>
      </c>
      <c r="I339" s="137" t="s">
        <v>1246</v>
      </c>
      <c r="J339" s="45">
        <v>2</v>
      </c>
    </row>
    <row r="340" spans="1:10" s="34" customFormat="1">
      <c r="A340" s="115">
        <v>272</v>
      </c>
      <c r="B340" s="154" t="s">
        <v>1603</v>
      </c>
      <c r="C340" s="197">
        <v>1</v>
      </c>
      <c r="D340" s="154" t="s">
        <v>1666</v>
      </c>
      <c r="E340" s="155" t="s">
        <v>1338</v>
      </c>
      <c r="F340" s="187">
        <v>54</v>
      </c>
      <c r="G340" s="154" t="s">
        <v>587</v>
      </c>
      <c r="H340" s="137" t="s">
        <v>1245</v>
      </c>
      <c r="I340" s="137" t="s">
        <v>1246</v>
      </c>
      <c r="J340" s="45">
        <v>2</v>
      </c>
    </row>
    <row r="341" spans="1:10" s="34" customFormat="1">
      <c r="A341" s="44">
        <v>163</v>
      </c>
      <c r="B341" s="113" t="s">
        <v>1603</v>
      </c>
      <c r="C341" s="114">
        <v>2</v>
      </c>
      <c r="D341" s="113" t="s">
        <v>1561</v>
      </c>
      <c r="E341" s="108" t="s">
        <v>1270</v>
      </c>
      <c r="F341" s="49">
        <v>54</v>
      </c>
      <c r="G341" s="113" t="s">
        <v>1035</v>
      </c>
      <c r="H341" s="137" t="s">
        <v>1245</v>
      </c>
      <c r="I341" s="137" t="s">
        <v>1246</v>
      </c>
      <c r="J341" s="45">
        <v>2</v>
      </c>
    </row>
    <row r="342" spans="1:10" s="34" customFormat="1">
      <c r="A342" s="44">
        <v>248</v>
      </c>
      <c r="B342" s="113" t="s">
        <v>1603</v>
      </c>
      <c r="C342" s="114">
        <v>2</v>
      </c>
      <c r="D342" s="113" t="s">
        <v>1660</v>
      </c>
      <c r="E342" s="108" t="s">
        <v>1325</v>
      </c>
      <c r="F342" s="49">
        <v>54</v>
      </c>
      <c r="G342" s="113" t="s">
        <v>975</v>
      </c>
      <c r="H342" s="137" t="s">
        <v>1245</v>
      </c>
      <c r="I342" s="137" t="s">
        <v>1246</v>
      </c>
      <c r="J342" s="45">
        <v>2</v>
      </c>
    </row>
    <row r="343" spans="1:10" s="34" customFormat="1">
      <c r="A343" s="44">
        <v>89</v>
      </c>
      <c r="B343" s="113" t="s">
        <v>1603</v>
      </c>
      <c r="C343" s="114">
        <v>3</v>
      </c>
      <c r="D343" s="113" t="s">
        <v>1636</v>
      </c>
      <c r="E343" s="108" t="s">
        <v>1227</v>
      </c>
      <c r="F343" s="49">
        <v>54</v>
      </c>
      <c r="G343" s="113" t="s">
        <v>602</v>
      </c>
      <c r="H343" s="137" t="s">
        <v>1245</v>
      </c>
      <c r="I343" s="137" t="s">
        <v>1246</v>
      </c>
      <c r="J343" s="45">
        <v>2</v>
      </c>
    </row>
    <row r="344" spans="1:10" s="34" customFormat="1">
      <c r="A344" s="44">
        <v>99</v>
      </c>
      <c r="B344" s="113" t="s">
        <v>1603</v>
      </c>
      <c r="C344" s="114">
        <v>3</v>
      </c>
      <c r="D344" s="113" t="s">
        <v>1638</v>
      </c>
      <c r="E344" s="108" t="s">
        <v>1233</v>
      </c>
      <c r="F344" s="49">
        <v>54</v>
      </c>
      <c r="G344" s="113" t="s">
        <v>1010</v>
      </c>
      <c r="H344" s="137" t="s">
        <v>1245</v>
      </c>
      <c r="I344" s="137" t="s">
        <v>1246</v>
      </c>
      <c r="J344" s="45">
        <v>2</v>
      </c>
    </row>
    <row r="345" spans="1:10" s="34" customFormat="1">
      <c r="A345" s="44">
        <v>145</v>
      </c>
      <c r="B345" s="113" t="s">
        <v>1603</v>
      </c>
      <c r="C345" s="114">
        <v>3</v>
      </c>
      <c r="D345" s="113" t="s">
        <v>1553</v>
      </c>
      <c r="E345" s="108" t="s">
        <v>1261</v>
      </c>
      <c r="F345" s="49">
        <v>54</v>
      </c>
      <c r="G345" s="113" t="s">
        <v>601</v>
      </c>
      <c r="H345" s="137" t="s">
        <v>1245</v>
      </c>
      <c r="I345" s="137" t="s">
        <v>1246</v>
      </c>
      <c r="J345" s="45">
        <v>2</v>
      </c>
    </row>
    <row r="346" spans="1:10" s="34" customFormat="1">
      <c r="A346" s="44">
        <v>164</v>
      </c>
      <c r="B346" s="113" t="s">
        <v>1603</v>
      </c>
      <c r="C346" s="114">
        <v>3</v>
      </c>
      <c r="D346" s="113" t="s">
        <v>1561</v>
      </c>
      <c r="E346" s="108" t="s">
        <v>1271</v>
      </c>
      <c r="F346" s="49">
        <v>54</v>
      </c>
      <c r="G346" s="113" t="s">
        <v>968</v>
      </c>
      <c r="H346" s="137" t="s">
        <v>1245</v>
      </c>
      <c r="I346" s="137" t="s">
        <v>1246</v>
      </c>
      <c r="J346" s="45">
        <v>2</v>
      </c>
    </row>
    <row r="347" spans="1:10" s="34" customFormat="1">
      <c r="A347" s="44">
        <v>211</v>
      </c>
      <c r="B347" s="113" t="s">
        <v>1603</v>
      </c>
      <c r="C347" s="114">
        <v>3</v>
      </c>
      <c r="D347" s="113" t="s">
        <v>1649</v>
      </c>
      <c r="E347" s="108" t="s">
        <v>1300</v>
      </c>
      <c r="F347" s="49">
        <v>54</v>
      </c>
      <c r="G347" s="113" t="s">
        <v>587</v>
      </c>
      <c r="H347" s="137" t="s">
        <v>1245</v>
      </c>
      <c r="I347" s="137" t="s">
        <v>1246</v>
      </c>
      <c r="J347" s="45">
        <v>2</v>
      </c>
    </row>
    <row r="348" spans="1:10" s="34" customFormat="1">
      <c r="A348" s="44">
        <v>217</v>
      </c>
      <c r="B348" s="113" t="s">
        <v>1603</v>
      </c>
      <c r="C348" s="114">
        <v>4</v>
      </c>
      <c r="D348" s="113" t="s">
        <v>1651</v>
      </c>
      <c r="E348" s="108" t="s">
        <v>1430</v>
      </c>
      <c r="F348" s="49">
        <v>54</v>
      </c>
      <c r="G348" s="113" t="s">
        <v>590</v>
      </c>
      <c r="H348" s="137" t="s">
        <v>1245</v>
      </c>
      <c r="I348" s="137" t="s">
        <v>1246</v>
      </c>
      <c r="J348" s="45">
        <v>2</v>
      </c>
    </row>
    <row r="349" spans="1:10" s="34" customFormat="1">
      <c r="A349" s="44">
        <v>47</v>
      </c>
      <c r="B349" s="113" t="s">
        <v>1603</v>
      </c>
      <c r="C349" s="114">
        <v>5</v>
      </c>
      <c r="D349" s="113" t="s">
        <v>1624</v>
      </c>
      <c r="E349" s="108" t="s">
        <v>1199</v>
      </c>
      <c r="F349" s="49">
        <v>54</v>
      </c>
      <c r="G349" s="113" t="s">
        <v>587</v>
      </c>
      <c r="H349" s="137" t="s">
        <v>1245</v>
      </c>
      <c r="I349" s="137" t="s">
        <v>1246</v>
      </c>
      <c r="J349" s="45">
        <v>2</v>
      </c>
    </row>
    <row r="350" spans="1:10" s="34" customFormat="1">
      <c r="A350" s="44">
        <v>58</v>
      </c>
      <c r="B350" s="113" t="s">
        <v>1603</v>
      </c>
      <c r="C350" s="114">
        <v>5</v>
      </c>
      <c r="D350" s="113" t="s">
        <v>1630</v>
      </c>
      <c r="E350" s="108" t="s">
        <v>1204</v>
      </c>
      <c r="F350" s="49">
        <v>54</v>
      </c>
      <c r="G350" s="113" t="s">
        <v>597</v>
      </c>
      <c r="H350" s="137" t="s">
        <v>1245</v>
      </c>
      <c r="I350" s="137" t="s">
        <v>1246</v>
      </c>
      <c r="J350" s="45">
        <v>2</v>
      </c>
    </row>
    <row r="351" spans="1:10" s="34" customFormat="1">
      <c r="A351" s="44">
        <v>228</v>
      </c>
      <c r="B351" s="113" t="s">
        <v>1603</v>
      </c>
      <c r="C351" s="114">
        <v>5</v>
      </c>
      <c r="D351" s="113" t="s">
        <v>1653</v>
      </c>
      <c r="E351" s="108" t="s">
        <v>1309</v>
      </c>
      <c r="F351" s="49">
        <v>54</v>
      </c>
      <c r="G351" s="113" t="s">
        <v>1026</v>
      </c>
      <c r="H351" s="137" t="s">
        <v>1245</v>
      </c>
      <c r="I351" s="137" t="s">
        <v>1246</v>
      </c>
      <c r="J351" s="45">
        <v>2</v>
      </c>
    </row>
    <row r="352" spans="1:10" s="34" customFormat="1">
      <c r="A352" s="138">
        <v>141</v>
      </c>
      <c r="B352" s="153" t="s">
        <v>1585</v>
      </c>
      <c r="C352" s="192">
        <v>1</v>
      </c>
      <c r="D352" s="153" t="s">
        <v>1553</v>
      </c>
      <c r="E352" s="193" t="s">
        <v>1259</v>
      </c>
      <c r="F352" s="194">
        <v>55</v>
      </c>
      <c r="G352" s="153" t="s">
        <v>1004</v>
      </c>
      <c r="H352" s="195" t="s">
        <v>1415</v>
      </c>
      <c r="I352" s="195" t="s">
        <v>1415</v>
      </c>
      <c r="J352" s="45">
        <v>1</v>
      </c>
    </row>
    <row r="353" spans="1:10" s="34" customFormat="1">
      <c r="A353" s="138">
        <v>169</v>
      </c>
      <c r="B353" s="153" t="s">
        <v>1585</v>
      </c>
      <c r="C353" s="192">
        <v>1</v>
      </c>
      <c r="D353" s="153" t="s">
        <v>1561</v>
      </c>
      <c r="E353" s="193" t="s">
        <v>1415</v>
      </c>
      <c r="F353" s="194">
        <v>55</v>
      </c>
      <c r="G353" s="153" t="s">
        <v>987</v>
      </c>
      <c r="H353" s="195" t="s">
        <v>1415</v>
      </c>
      <c r="I353" s="195" t="s">
        <v>1415</v>
      </c>
      <c r="J353" s="45">
        <v>1</v>
      </c>
    </row>
    <row r="354" spans="1:10" s="34" customFormat="1">
      <c r="A354" s="138">
        <v>16</v>
      </c>
      <c r="B354" s="139" t="s">
        <v>1585</v>
      </c>
      <c r="C354" s="140">
        <v>2</v>
      </c>
      <c r="D354" s="139" t="s">
        <v>1621</v>
      </c>
      <c r="E354" s="141" t="s">
        <v>1178</v>
      </c>
      <c r="F354" s="143">
        <v>55</v>
      </c>
      <c r="G354" s="139" t="s">
        <v>1014</v>
      </c>
      <c r="H354" s="142" t="s">
        <v>1415</v>
      </c>
      <c r="I354" s="142" t="s">
        <v>1415</v>
      </c>
      <c r="J354" s="45">
        <v>1</v>
      </c>
    </row>
    <row r="355" spans="1:10" s="34" customFormat="1">
      <c r="A355" s="138">
        <v>35</v>
      </c>
      <c r="B355" s="139" t="s">
        <v>1585</v>
      </c>
      <c r="C355" s="196">
        <v>2</v>
      </c>
      <c r="D355" s="189" t="s">
        <v>1567</v>
      </c>
      <c r="E355" s="190" t="s">
        <v>1188</v>
      </c>
      <c r="F355" s="191">
        <v>55</v>
      </c>
      <c r="G355" s="189" t="s">
        <v>587</v>
      </c>
      <c r="H355" s="142" t="s">
        <v>1415</v>
      </c>
      <c r="I355" s="142" t="s">
        <v>1415</v>
      </c>
      <c r="J355" s="45">
        <v>1</v>
      </c>
    </row>
    <row r="356" spans="1:10" s="34" customFormat="1">
      <c r="A356" s="138">
        <v>76</v>
      </c>
      <c r="B356" s="139" t="s">
        <v>1585</v>
      </c>
      <c r="C356" s="140">
        <v>2</v>
      </c>
      <c r="D356" s="139" t="s">
        <v>1633</v>
      </c>
      <c r="E356" s="141" t="s">
        <v>1216</v>
      </c>
      <c r="F356" s="143">
        <v>55</v>
      </c>
      <c r="G356" s="139" t="s">
        <v>1005</v>
      </c>
      <c r="H356" s="142" t="s">
        <v>1415</v>
      </c>
      <c r="I356" s="142" t="s">
        <v>1415</v>
      </c>
      <c r="J356" s="45">
        <v>1</v>
      </c>
    </row>
    <row r="357" spans="1:10" s="34" customFormat="1">
      <c r="A357" s="138">
        <v>183</v>
      </c>
      <c r="B357" s="139" t="s">
        <v>1585</v>
      </c>
      <c r="C357" s="140">
        <v>2</v>
      </c>
      <c r="D357" s="139" t="s">
        <v>1644</v>
      </c>
      <c r="E357" s="141" t="s">
        <v>1284</v>
      </c>
      <c r="F357" s="143">
        <v>55</v>
      </c>
      <c r="G357" s="139" t="s">
        <v>587</v>
      </c>
      <c r="H357" s="142" t="s">
        <v>1415</v>
      </c>
      <c r="I357" s="142" t="s">
        <v>1415</v>
      </c>
      <c r="J357" s="45">
        <v>1</v>
      </c>
    </row>
    <row r="358" spans="1:10" s="34" customFormat="1">
      <c r="A358" s="138">
        <v>234</v>
      </c>
      <c r="B358" s="139" t="s">
        <v>1585</v>
      </c>
      <c r="C358" s="140">
        <v>2</v>
      </c>
      <c r="D358" s="139" t="s">
        <v>1655</v>
      </c>
      <c r="E358" s="141" t="s">
        <v>1314</v>
      </c>
      <c r="F358" s="143">
        <v>55</v>
      </c>
      <c r="G358" s="139" t="s">
        <v>599</v>
      </c>
      <c r="H358" s="142" t="s">
        <v>1415</v>
      </c>
      <c r="I358" s="142" t="s">
        <v>1415</v>
      </c>
      <c r="J358" s="45">
        <v>1</v>
      </c>
    </row>
    <row r="359" spans="1:10" s="34" customFormat="1">
      <c r="A359" s="138">
        <v>257</v>
      </c>
      <c r="B359" s="139" t="s">
        <v>1585</v>
      </c>
      <c r="C359" s="140">
        <v>2</v>
      </c>
      <c r="D359" s="139" t="s">
        <v>1663</v>
      </c>
      <c r="E359" s="141" t="s">
        <v>1330</v>
      </c>
      <c r="F359" s="143">
        <v>55</v>
      </c>
      <c r="G359" s="139" t="s">
        <v>602</v>
      </c>
      <c r="H359" s="142" t="s">
        <v>1415</v>
      </c>
      <c r="I359" s="142" t="s">
        <v>1415</v>
      </c>
      <c r="J359" s="45">
        <v>1</v>
      </c>
    </row>
    <row r="360" spans="1:10" s="34" customFormat="1">
      <c r="A360" s="143">
        <v>292</v>
      </c>
      <c r="B360" s="141" t="s">
        <v>1585</v>
      </c>
      <c r="C360" s="143">
        <v>2</v>
      </c>
      <c r="D360" s="141" t="s">
        <v>962</v>
      </c>
      <c r="E360" s="141" t="s">
        <v>1433</v>
      </c>
      <c r="F360" s="143">
        <v>55</v>
      </c>
      <c r="G360" s="144" t="s">
        <v>1414</v>
      </c>
      <c r="H360" s="142" t="s">
        <v>1415</v>
      </c>
      <c r="I360" s="142" t="s">
        <v>1415</v>
      </c>
      <c r="J360" s="45">
        <v>1</v>
      </c>
    </row>
    <row r="361" spans="1:10" s="34" customFormat="1">
      <c r="A361" s="138">
        <v>55</v>
      </c>
      <c r="B361" s="139" t="s">
        <v>1585</v>
      </c>
      <c r="C361" s="140">
        <v>3</v>
      </c>
      <c r="D361" s="139" t="s">
        <v>1628</v>
      </c>
      <c r="E361" s="141" t="s">
        <v>1202</v>
      </c>
      <c r="F361" s="143">
        <v>55</v>
      </c>
      <c r="G361" s="139" t="s">
        <v>1017</v>
      </c>
      <c r="H361" s="142" t="s">
        <v>1415</v>
      </c>
      <c r="I361" s="142" t="s">
        <v>1415</v>
      </c>
      <c r="J361" s="45">
        <v>1</v>
      </c>
    </row>
    <row r="362" spans="1:10" s="34" customFormat="1">
      <c r="A362" s="138">
        <v>90</v>
      </c>
      <c r="B362" s="139" t="s">
        <v>1585</v>
      </c>
      <c r="C362" s="140">
        <v>3</v>
      </c>
      <c r="D362" s="139" t="s">
        <v>1636</v>
      </c>
      <c r="E362" s="141" t="s">
        <v>1228</v>
      </c>
      <c r="F362" s="143">
        <v>55</v>
      </c>
      <c r="G362" s="139" t="s">
        <v>600</v>
      </c>
      <c r="H362" s="142" t="s">
        <v>1415</v>
      </c>
      <c r="I362" s="142" t="s">
        <v>1415</v>
      </c>
      <c r="J362" s="45">
        <v>1</v>
      </c>
    </row>
    <row r="363" spans="1:10" s="34" customFormat="1">
      <c r="A363" s="138">
        <v>103</v>
      </c>
      <c r="B363" s="139" t="s">
        <v>1585</v>
      </c>
      <c r="C363" s="140">
        <v>3</v>
      </c>
      <c r="D363" s="139" t="s">
        <v>1551</v>
      </c>
      <c r="E363" s="141" t="s">
        <v>1236</v>
      </c>
      <c r="F363" s="143">
        <v>55</v>
      </c>
      <c r="G363" s="139" t="s">
        <v>970</v>
      </c>
      <c r="H363" s="142" t="s">
        <v>1415</v>
      </c>
      <c r="I363" s="142" t="s">
        <v>1415</v>
      </c>
      <c r="J363" s="45">
        <v>1</v>
      </c>
    </row>
    <row r="364" spans="1:10" s="34" customFormat="1">
      <c r="A364" s="138">
        <v>107</v>
      </c>
      <c r="B364" s="139" t="s">
        <v>1585</v>
      </c>
      <c r="C364" s="140">
        <v>3</v>
      </c>
      <c r="D364" s="139" t="s">
        <v>1551</v>
      </c>
      <c r="E364" s="141" t="s">
        <v>1239</v>
      </c>
      <c r="F364" s="143">
        <v>55</v>
      </c>
      <c r="G364" s="139" t="s">
        <v>587</v>
      </c>
      <c r="H364" s="142" t="s">
        <v>1415</v>
      </c>
      <c r="I364" s="142" t="s">
        <v>1415</v>
      </c>
      <c r="J364" s="45">
        <v>1</v>
      </c>
    </row>
    <row r="365" spans="1:10" s="34" customFormat="1">
      <c r="A365" s="138">
        <v>269</v>
      </c>
      <c r="B365" s="139" t="s">
        <v>1585</v>
      </c>
      <c r="C365" s="140">
        <v>3</v>
      </c>
      <c r="D365" s="139" t="s">
        <v>1665</v>
      </c>
      <c r="E365" s="141" t="s">
        <v>1336</v>
      </c>
      <c r="F365" s="143">
        <v>55</v>
      </c>
      <c r="G365" s="139" t="s">
        <v>1035</v>
      </c>
      <c r="H365" s="142" t="s">
        <v>1415</v>
      </c>
      <c r="I365" s="142" t="s">
        <v>1415</v>
      </c>
      <c r="J365" s="45">
        <v>1</v>
      </c>
    </row>
    <row r="366" spans="1:10" s="34" customFormat="1">
      <c r="A366" s="138">
        <v>285</v>
      </c>
      <c r="B366" s="139" t="s">
        <v>1585</v>
      </c>
      <c r="C366" s="140">
        <v>3</v>
      </c>
      <c r="D366" s="139" t="s">
        <v>1667</v>
      </c>
      <c r="E366" s="141" t="s">
        <v>1346</v>
      </c>
      <c r="F366" s="143">
        <v>55</v>
      </c>
      <c r="G366" s="139" t="s">
        <v>967</v>
      </c>
      <c r="H366" s="142" t="s">
        <v>1415</v>
      </c>
      <c r="I366" s="142" t="s">
        <v>1415</v>
      </c>
      <c r="J366" s="45">
        <v>1</v>
      </c>
    </row>
    <row r="367" spans="1:10" s="34" customFormat="1">
      <c r="A367" s="138">
        <v>122</v>
      </c>
      <c r="B367" s="139" t="s">
        <v>1585</v>
      </c>
      <c r="C367" s="140">
        <v>4</v>
      </c>
      <c r="D367" s="139" t="s">
        <v>1553</v>
      </c>
      <c r="E367" s="141" t="s">
        <v>1248</v>
      </c>
      <c r="F367" s="143">
        <v>55</v>
      </c>
      <c r="G367" s="139" t="s">
        <v>1013</v>
      </c>
      <c r="H367" s="142" t="s">
        <v>1415</v>
      </c>
      <c r="I367" s="142" t="s">
        <v>1415</v>
      </c>
      <c r="J367" s="45">
        <v>1</v>
      </c>
    </row>
    <row r="368" spans="1:10" s="34" customFormat="1">
      <c r="A368" s="138">
        <v>189</v>
      </c>
      <c r="B368" s="139" t="s">
        <v>1585</v>
      </c>
      <c r="C368" s="140">
        <v>4</v>
      </c>
      <c r="D368" s="139" t="s">
        <v>1645</v>
      </c>
      <c r="E368" s="141" t="s">
        <v>1286</v>
      </c>
      <c r="F368" s="143">
        <v>55</v>
      </c>
      <c r="G368" s="139" t="s">
        <v>598</v>
      </c>
      <c r="H368" s="142" t="s">
        <v>1415</v>
      </c>
      <c r="I368" s="142" t="s">
        <v>1415</v>
      </c>
      <c r="J368" s="45">
        <v>1</v>
      </c>
    </row>
    <row r="369" spans="1:10" s="34" customFormat="1">
      <c r="A369" s="138">
        <v>208</v>
      </c>
      <c r="B369" s="139" t="s">
        <v>1585</v>
      </c>
      <c r="C369" s="140">
        <v>4</v>
      </c>
      <c r="D369" s="139" t="s">
        <v>1649</v>
      </c>
      <c r="E369" s="141" t="s">
        <v>1297</v>
      </c>
      <c r="F369" s="143">
        <v>55</v>
      </c>
      <c r="G369" s="139" t="s">
        <v>975</v>
      </c>
      <c r="H369" s="142" t="s">
        <v>1415</v>
      </c>
      <c r="I369" s="142" t="s">
        <v>1415</v>
      </c>
      <c r="J369" s="45">
        <v>1</v>
      </c>
    </row>
    <row r="370" spans="1:10" s="34" customFormat="1">
      <c r="A370" s="138">
        <v>228</v>
      </c>
      <c r="B370" s="139" t="s">
        <v>1585</v>
      </c>
      <c r="C370" s="140">
        <v>4</v>
      </c>
      <c r="D370" s="139" t="s">
        <v>1653</v>
      </c>
      <c r="E370" s="141" t="s">
        <v>1309</v>
      </c>
      <c r="F370" s="143">
        <v>55</v>
      </c>
      <c r="G370" s="139" t="s">
        <v>1026</v>
      </c>
      <c r="H370" s="142" t="s">
        <v>1415</v>
      </c>
      <c r="I370" s="142" t="s">
        <v>1415</v>
      </c>
      <c r="J370" s="45">
        <v>1</v>
      </c>
    </row>
    <row r="371" spans="1:10" s="34" customFormat="1">
      <c r="A371" s="138">
        <v>237</v>
      </c>
      <c r="B371" s="139" t="s">
        <v>1585</v>
      </c>
      <c r="C371" s="140">
        <v>4</v>
      </c>
      <c r="D371" s="139" t="s">
        <v>1656</v>
      </c>
      <c r="E371" s="141" t="s">
        <v>1317</v>
      </c>
      <c r="F371" s="143">
        <v>55</v>
      </c>
      <c r="G371" s="139" t="s">
        <v>599</v>
      </c>
      <c r="H371" s="142" t="s">
        <v>1415</v>
      </c>
      <c r="I371" s="142" t="s">
        <v>1415</v>
      </c>
      <c r="J371" s="45">
        <v>1</v>
      </c>
    </row>
    <row r="372" spans="1:10" s="34" customFormat="1">
      <c r="A372" s="138">
        <v>256</v>
      </c>
      <c r="B372" s="139" t="s">
        <v>1585</v>
      </c>
      <c r="C372" s="140">
        <v>4</v>
      </c>
      <c r="D372" s="139" t="s">
        <v>1662</v>
      </c>
      <c r="E372" s="141" t="s">
        <v>1329</v>
      </c>
      <c r="F372" s="143">
        <v>55</v>
      </c>
      <c r="G372" s="139" t="s">
        <v>1019</v>
      </c>
      <c r="H372" s="142" t="s">
        <v>1415</v>
      </c>
      <c r="I372" s="142" t="s">
        <v>1415</v>
      </c>
      <c r="J372" s="45">
        <v>1</v>
      </c>
    </row>
    <row r="373" spans="1:10" s="34" customFormat="1">
      <c r="A373" s="138">
        <v>261</v>
      </c>
      <c r="B373" s="139" t="s">
        <v>1585</v>
      </c>
      <c r="C373" s="140">
        <v>4</v>
      </c>
      <c r="D373" s="139" t="s">
        <v>1664</v>
      </c>
      <c r="E373" s="141" t="s">
        <v>1333</v>
      </c>
      <c r="F373" s="143">
        <v>55</v>
      </c>
      <c r="G373" s="139" t="s">
        <v>589</v>
      </c>
      <c r="H373" s="142" t="s">
        <v>1415</v>
      </c>
      <c r="I373" s="142" t="s">
        <v>1415</v>
      </c>
      <c r="J373" s="45">
        <v>1</v>
      </c>
    </row>
    <row r="374" spans="1:10" s="34" customFormat="1">
      <c r="A374" s="138">
        <v>271</v>
      </c>
      <c r="B374" s="139" t="s">
        <v>1585</v>
      </c>
      <c r="C374" s="140">
        <v>4</v>
      </c>
      <c r="D374" s="139" t="s">
        <v>1665</v>
      </c>
      <c r="E374" s="141" t="s">
        <v>1337</v>
      </c>
      <c r="F374" s="143">
        <v>55</v>
      </c>
      <c r="G374" s="139" t="s">
        <v>593</v>
      </c>
      <c r="H374" s="142" t="s">
        <v>1415</v>
      </c>
      <c r="I374" s="142" t="s">
        <v>1415</v>
      </c>
      <c r="J374" s="45">
        <v>1</v>
      </c>
    </row>
    <row r="375" spans="1:10" s="34" customFormat="1">
      <c r="A375" s="138">
        <v>71</v>
      </c>
      <c r="B375" s="139" t="s">
        <v>1585</v>
      </c>
      <c r="C375" s="140">
        <v>5</v>
      </c>
      <c r="D375" s="139" t="s">
        <v>1631</v>
      </c>
      <c r="E375" s="141" t="s">
        <v>1214</v>
      </c>
      <c r="F375" s="143">
        <v>55</v>
      </c>
      <c r="G375" s="139" t="s">
        <v>1034</v>
      </c>
      <c r="H375" s="142" t="s">
        <v>1415</v>
      </c>
      <c r="I375" s="142" t="s">
        <v>1415</v>
      </c>
      <c r="J375" s="45">
        <v>1</v>
      </c>
    </row>
    <row r="376" spans="1:10" s="34" customFormat="1">
      <c r="A376" s="138">
        <v>172</v>
      </c>
      <c r="B376" s="139" t="s">
        <v>1585</v>
      </c>
      <c r="C376" s="140">
        <v>5</v>
      </c>
      <c r="D376" s="139" t="s">
        <v>1641</v>
      </c>
      <c r="E376" s="141" t="s">
        <v>1276</v>
      </c>
      <c r="F376" s="143">
        <v>55</v>
      </c>
      <c r="G376" s="139" t="s">
        <v>969</v>
      </c>
      <c r="H376" s="142" t="s">
        <v>1415</v>
      </c>
      <c r="I376" s="142" t="s">
        <v>1415</v>
      </c>
      <c r="J376" s="45">
        <v>1</v>
      </c>
    </row>
    <row r="377" spans="1:10" s="34" customFormat="1">
      <c r="A377" s="44">
        <v>97</v>
      </c>
      <c r="B377" s="113" t="s">
        <v>1610</v>
      </c>
      <c r="C377" s="114">
        <v>2</v>
      </c>
      <c r="D377" s="113" t="s">
        <v>1559</v>
      </c>
      <c r="E377" s="108" t="s">
        <v>1232</v>
      </c>
      <c r="F377" s="49">
        <v>56</v>
      </c>
      <c r="G377" s="113" t="s">
        <v>971</v>
      </c>
      <c r="H377" s="137" t="s">
        <v>1219</v>
      </c>
      <c r="I377" s="137" t="s">
        <v>1417</v>
      </c>
      <c r="J377" s="45">
        <v>2</v>
      </c>
    </row>
    <row r="378" spans="1:10" s="34" customFormat="1">
      <c r="A378" s="44">
        <v>144</v>
      </c>
      <c r="B378" s="113" t="s">
        <v>1610</v>
      </c>
      <c r="C378" s="114">
        <v>2</v>
      </c>
      <c r="D378" s="113" t="s">
        <v>1553</v>
      </c>
      <c r="E378" s="108" t="s">
        <v>1260</v>
      </c>
      <c r="F378" s="49">
        <v>56</v>
      </c>
      <c r="G378" s="113" t="s">
        <v>998</v>
      </c>
      <c r="H378" s="137" t="s">
        <v>1219</v>
      </c>
      <c r="I378" s="137" t="s">
        <v>1417</v>
      </c>
      <c r="J378" s="45">
        <v>2</v>
      </c>
    </row>
    <row r="379" spans="1:10" s="34" customFormat="1">
      <c r="A379" s="44">
        <v>206</v>
      </c>
      <c r="B379" s="113" t="s">
        <v>1610</v>
      </c>
      <c r="C379" s="114">
        <v>2</v>
      </c>
      <c r="D379" s="113" t="s">
        <v>1649</v>
      </c>
      <c r="E379" s="108" t="s">
        <v>1295</v>
      </c>
      <c r="F379" s="49">
        <v>56</v>
      </c>
      <c r="G379" s="113" t="s">
        <v>596</v>
      </c>
      <c r="H379" s="137" t="s">
        <v>1219</v>
      </c>
      <c r="I379" s="137" t="s">
        <v>1417</v>
      </c>
      <c r="J379" s="45">
        <v>2</v>
      </c>
    </row>
    <row r="380" spans="1:10" s="34" customFormat="1">
      <c r="A380" s="115">
        <v>269</v>
      </c>
      <c r="B380" s="116" t="s">
        <v>1610</v>
      </c>
      <c r="C380" s="117">
        <v>2</v>
      </c>
      <c r="D380" s="116" t="s">
        <v>1665</v>
      </c>
      <c r="E380" s="108" t="s">
        <v>1336</v>
      </c>
      <c r="F380" s="49">
        <v>56</v>
      </c>
      <c r="G380" s="116" t="s">
        <v>1035</v>
      </c>
      <c r="H380" s="137" t="s">
        <v>1219</v>
      </c>
      <c r="I380" s="137" t="s">
        <v>1417</v>
      </c>
      <c r="J380" s="45">
        <v>2</v>
      </c>
    </row>
    <row r="381" spans="1:10" s="34" customFormat="1">
      <c r="A381" s="44">
        <v>192</v>
      </c>
      <c r="B381" s="113" t="s">
        <v>1610</v>
      </c>
      <c r="C381" s="114">
        <v>3</v>
      </c>
      <c r="D381" s="113" t="s">
        <v>1646</v>
      </c>
      <c r="E381" s="108" t="s">
        <v>1287</v>
      </c>
      <c r="F381" s="49">
        <v>56</v>
      </c>
      <c r="G381" s="113" t="s">
        <v>995</v>
      </c>
      <c r="H381" s="137" t="s">
        <v>1219</v>
      </c>
      <c r="I381" s="137" t="s">
        <v>1417</v>
      </c>
      <c r="J381" s="45">
        <v>2</v>
      </c>
    </row>
    <row r="382" spans="1:10" s="34" customFormat="1">
      <c r="A382" s="115">
        <v>275</v>
      </c>
      <c r="B382" s="116" t="s">
        <v>1610</v>
      </c>
      <c r="C382" s="117">
        <v>5</v>
      </c>
      <c r="D382" s="116" t="s">
        <v>1563</v>
      </c>
      <c r="E382" s="108" t="s">
        <v>1340</v>
      </c>
      <c r="F382" s="49">
        <v>56</v>
      </c>
      <c r="G382" s="116" t="s">
        <v>1029</v>
      </c>
      <c r="H382" s="137" t="s">
        <v>1219</v>
      </c>
      <c r="I382" s="137" t="s">
        <v>1417</v>
      </c>
      <c r="J382" s="45">
        <v>2</v>
      </c>
    </row>
    <row r="383" spans="1:10" s="34" customFormat="1">
      <c r="A383" s="138">
        <v>262</v>
      </c>
      <c r="B383" s="153" t="s">
        <v>1604</v>
      </c>
      <c r="C383" s="192">
        <v>1</v>
      </c>
      <c r="D383" s="153" t="s">
        <v>1664</v>
      </c>
      <c r="E383" s="193" t="s">
        <v>1334</v>
      </c>
      <c r="F383" s="194">
        <v>57</v>
      </c>
      <c r="G383" s="153" t="s">
        <v>595</v>
      </c>
      <c r="H383" s="195" t="s">
        <v>1334</v>
      </c>
      <c r="I383" s="195" t="s">
        <v>1222</v>
      </c>
      <c r="J383" s="45">
        <v>1</v>
      </c>
    </row>
    <row r="384" spans="1:10" s="34" customFormat="1">
      <c r="A384" s="138">
        <v>137</v>
      </c>
      <c r="B384" s="139" t="s">
        <v>1604</v>
      </c>
      <c r="C384" s="140">
        <v>2</v>
      </c>
      <c r="D384" s="139" t="s">
        <v>1553</v>
      </c>
      <c r="E384" s="141" t="s">
        <v>1257</v>
      </c>
      <c r="F384" s="143">
        <v>57</v>
      </c>
      <c r="G384" s="139" t="s">
        <v>1030</v>
      </c>
      <c r="H384" s="142" t="s">
        <v>1334</v>
      </c>
      <c r="I384" s="142" t="s">
        <v>1222</v>
      </c>
      <c r="J384" s="45">
        <v>1</v>
      </c>
    </row>
    <row r="385" spans="1:10" s="34" customFormat="1">
      <c r="A385" s="138">
        <v>225</v>
      </c>
      <c r="B385" s="139" t="s">
        <v>1604</v>
      </c>
      <c r="C385" s="140">
        <v>2</v>
      </c>
      <c r="D385" s="139" t="s">
        <v>1652</v>
      </c>
      <c r="E385" s="141" t="s">
        <v>1307</v>
      </c>
      <c r="F385" s="143">
        <v>57</v>
      </c>
      <c r="G385" s="139" t="s">
        <v>996</v>
      </c>
      <c r="H385" s="142" t="s">
        <v>1334</v>
      </c>
      <c r="I385" s="142" t="s">
        <v>1222</v>
      </c>
      <c r="J385" s="45">
        <v>1</v>
      </c>
    </row>
    <row r="386" spans="1:10" s="34" customFormat="1">
      <c r="A386" s="138">
        <v>49</v>
      </c>
      <c r="B386" s="139" t="s">
        <v>1604</v>
      </c>
      <c r="C386" s="140">
        <v>3</v>
      </c>
      <c r="D386" s="139" t="s">
        <v>1625</v>
      </c>
      <c r="E386" s="141" t="s">
        <v>1200</v>
      </c>
      <c r="F386" s="143">
        <v>57</v>
      </c>
      <c r="G386" s="139" t="s">
        <v>605</v>
      </c>
      <c r="H386" s="142" t="s">
        <v>1334</v>
      </c>
      <c r="I386" s="142" t="s">
        <v>1222</v>
      </c>
      <c r="J386" s="45">
        <v>1</v>
      </c>
    </row>
    <row r="387" spans="1:10" s="34" customFormat="1">
      <c r="A387" s="138">
        <v>266</v>
      </c>
      <c r="B387" s="139" t="s">
        <v>1604</v>
      </c>
      <c r="C387" s="140">
        <v>5</v>
      </c>
      <c r="D387" s="139" t="s">
        <v>1664</v>
      </c>
      <c r="E387" s="141" t="s">
        <v>1335</v>
      </c>
      <c r="F387" s="143">
        <v>57</v>
      </c>
      <c r="G387" s="139" t="s">
        <v>588</v>
      </c>
      <c r="H387" s="142" t="s">
        <v>1334</v>
      </c>
      <c r="I387" s="142" t="s">
        <v>1222</v>
      </c>
      <c r="J387" s="45">
        <v>1</v>
      </c>
    </row>
    <row r="388" spans="1:10" s="34" customFormat="1">
      <c r="A388" s="44">
        <v>219</v>
      </c>
      <c r="B388" s="113" t="s">
        <v>553</v>
      </c>
      <c r="C388" s="114">
        <v>2</v>
      </c>
      <c r="D388" s="113" t="s">
        <v>1651</v>
      </c>
      <c r="E388" s="108" t="s">
        <v>1306</v>
      </c>
      <c r="F388" s="49">
        <v>58</v>
      </c>
      <c r="G388" s="113" t="s">
        <v>587</v>
      </c>
      <c r="H388" s="137" t="s">
        <v>1313</v>
      </c>
      <c r="I388" s="137" t="s">
        <v>1344</v>
      </c>
      <c r="J388" s="45">
        <v>2</v>
      </c>
    </row>
    <row r="389" spans="1:10" s="34" customFormat="1">
      <c r="A389" s="44">
        <v>233</v>
      </c>
      <c r="B389" s="113" t="s">
        <v>553</v>
      </c>
      <c r="C389" s="114">
        <v>4</v>
      </c>
      <c r="D389" s="113" t="s">
        <v>1654</v>
      </c>
      <c r="E389" s="108" t="s">
        <v>1313</v>
      </c>
      <c r="F389" s="49">
        <v>58</v>
      </c>
      <c r="G389" s="113" t="s">
        <v>975</v>
      </c>
      <c r="H389" s="137" t="s">
        <v>1313</v>
      </c>
      <c r="I389" s="137" t="s">
        <v>1344</v>
      </c>
      <c r="J389" s="45">
        <v>2</v>
      </c>
    </row>
    <row r="390" spans="1:10" s="34" customFormat="1">
      <c r="A390" s="44">
        <v>218</v>
      </c>
      <c r="B390" s="113" t="s">
        <v>553</v>
      </c>
      <c r="C390" s="114">
        <v>5</v>
      </c>
      <c r="D390" s="113" t="s">
        <v>1651</v>
      </c>
      <c r="E390" s="108" t="s">
        <v>1305</v>
      </c>
      <c r="F390" s="49">
        <v>58</v>
      </c>
      <c r="G390" s="113" t="s">
        <v>590</v>
      </c>
      <c r="H390" s="137" t="s">
        <v>1313</v>
      </c>
      <c r="I390" s="137" t="s">
        <v>1344</v>
      </c>
      <c r="J390" s="45">
        <v>2</v>
      </c>
    </row>
    <row r="391" spans="1:10" s="34" customFormat="1">
      <c r="A391" s="138">
        <v>211</v>
      </c>
      <c r="B391" s="153" t="s">
        <v>554</v>
      </c>
      <c r="C391" s="192">
        <v>1</v>
      </c>
      <c r="D391" s="153" t="s">
        <v>1649</v>
      </c>
      <c r="E391" s="193" t="s">
        <v>1300</v>
      </c>
      <c r="F391" s="194">
        <v>59</v>
      </c>
      <c r="G391" s="153" t="s">
        <v>587</v>
      </c>
      <c r="H391" s="195" t="s">
        <v>1300</v>
      </c>
      <c r="I391" s="195" t="s">
        <v>1297</v>
      </c>
      <c r="J391" s="45">
        <v>1</v>
      </c>
    </row>
    <row r="392" spans="1:10" s="34" customFormat="1">
      <c r="A392" s="138">
        <v>193</v>
      </c>
      <c r="B392" s="139" t="s">
        <v>554</v>
      </c>
      <c r="C392" s="140">
        <v>2</v>
      </c>
      <c r="D392" s="139" t="s">
        <v>1647</v>
      </c>
      <c r="E392" s="141" t="s">
        <v>1288</v>
      </c>
      <c r="F392" s="143">
        <v>59</v>
      </c>
      <c r="G392" s="139" t="s">
        <v>1015</v>
      </c>
      <c r="H392" s="142" t="s">
        <v>1300</v>
      </c>
      <c r="I392" s="142" t="s">
        <v>1297</v>
      </c>
      <c r="J392" s="45">
        <v>1</v>
      </c>
    </row>
    <row r="393" spans="1:10" s="34" customFormat="1">
      <c r="A393" s="44">
        <v>110</v>
      </c>
      <c r="B393" s="152" t="s">
        <v>555</v>
      </c>
      <c r="C393" s="186">
        <v>1</v>
      </c>
      <c r="D393" s="152" t="s">
        <v>1560</v>
      </c>
      <c r="E393" s="155" t="s">
        <v>1242</v>
      </c>
      <c r="F393" s="187">
        <v>60</v>
      </c>
      <c r="G393" s="152" t="s">
        <v>587</v>
      </c>
      <c r="H393" s="137" t="s">
        <v>1327</v>
      </c>
      <c r="I393" s="137" t="s">
        <v>1342</v>
      </c>
      <c r="J393" s="45">
        <v>2</v>
      </c>
    </row>
    <row r="394" spans="1:10" s="34" customFormat="1">
      <c r="A394" s="44">
        <v>243</v>
      </c>
      <c r="B394" s="152" t="s">
        <v>555</v>
      </c>
      <c r="C394" s="188">
        <v>1</v>
      </c>
      <c r="D394" s="189" t="s">
        <v>1659</v>
      </c>
      <c r="E394" s="190" t="s">
        <v>1323</v>
      </c>
      <c r="F394" s="191">
        <v>60</v>
      </c>
      <c r="G394" s="189" t="s">
        <v>1033</v>
      </c>
      <c r="H394" s="137" t="s">
        <v>1327</v>
      </c>
      <c r="I394" s="137" t="s">
        <v>1342</v>
      </c>
      <c r="J394" s="45">
        <v>2</v>
      </c>
    </row>
    <row r="395" spans="1:10" s="34" customFormat="1">
      <c r="A395" s="44">
        <v>253</v>
      </c>
      <c r="B395" s="152" t="s">
        <v>555</v>
      </c>
      <c r="C395" s="186">
        <v>1</v>
      </c>
      <c r="D395" s="152" t="s">
        <v>1661</v>
      </c>
      <c r="E395" s="155" t="s">
        <v>1327</v>
      </c>
      <c r="F395" s="187">
        <v>60</v>
      </c>
      <c r="G395" s="152" t="s">
        <v>978</v>
      </c>
      <c r="H395" s="137" t="s">
        <v>1327</v>
      </c>
      <c r="I395" s="137" t="s">
        <v>1342</v>
      </c>
      <c r="J395" s="45">
        <v>2</v>
      </c>
    </row>
    <row r="396" spans="1:10" s="34" customFormat="1">
      <c r="A396" s="44">
        <v>38</v>
      </c>
      <c r="B396" s="113" t="s">
        <v>555</v>
      </c>
      <c r="C396" s="114">
        <v>5</v>
      </c>
      <c r="D396" s="113" t="s">
        <v>1623</v>
      </c>
      <c r="E396" s="108" t="s">
        <v>1190</v>
      </c>
      <c r="F396" s="49">
        <v>60</v>
      </c>
      <c r="G396" s="113" t="s">
        <v>587</v>
      </c>
      <c r="H396" s="137" t="s">
        <v>1327</v>
      </c>
      <c r="I396" s="137" t="s">
        <v>1342</v>
      </c>
      <c r="J396" s="45">
        <v>2</v>
      </c>
    </row>
    <row r="397" spans="1:10" s="34" customFormat="1">
      <c r="A397" s="138">
        <v>87</v>
      </c>
      <c r="B397" s="153" t="s">
        <v>1608</v>
      </c>
      <c r="C397" s="192">
        <v>1</v>
      </c>
      <c r="D397" s="153" t="s">
        <v>1635</v>
      </c>
      <c r="E397" s="193" t="s">
        <v>1225</v>
      </c>
      <c r="F397" s="194">
        <v>61</v>
      </c>
      <c r="G397" s="153" t="s">
        <v>1000</v>
      </c>
      <c r="H397" s="195" t="s">
        <v>1292</v>
      </c>
      <c r="I397" s="195" t="s">
        <v>1310</v>
      </c>
      <c r="J397" s="45">
        <v>1</v>
      </c>
    </row>
    <row r="398" spans="1:10" s="34" customFormat="1">
      <c r="A398" s="138">
        <v>229</v>
      </c>
      <c r="B398" s="153" t="s">
        <v>1608</v>
      </c>
      <c r="C398" s="192">
        <v>1</v>
      </c>
      <c r="D398" s="153" t="s">
        <v>1653</v>
      </c>
      <c r="E398" s="193" t="s">
        <v>1310</v>
      </c>
      <c r="F398" s="194">
        <v>61</v>
      </c>
      <c r="G398" s="153" t="s">
        <v>989</v>
      </c>
      <c r="H398" s="195" t="s">
        <v>1292</v>
      </c>
      <c r="I398" s="195" t="s">
        <v>1310</v>
      </c>
      <c r="J398" s="45">
        <v>1</v>
      </c>
    </row>
    <row r="399" spans="1:10" s="34" customFormat="1">
      <c r="A399" s="138">
        <v>260</v>
      </c>
      <c r="B399" s="153" t="s">
        <v>1608</v>
      </c>
      <c r="C399" s="192">
        <v>1</v>
      </c>
      <c r="D399" s="153" t="s">
        <v>1664</v>
      </c>
      <c r="E399" s="193" t="s">
        <v>1332</v>
      </c>
      <c r="F399" s="194">
        <v>61</v>
      </c>
      <c r="G399" s="153" t="s">
        <v>599</v>
      </c>
      <c r="H399" s="195" t="s">
        <v>1292</v>
      </c>
      <c r="I399" s="195" t="s">
        <v>1310</v>
      </c>
      <c r="J399" s="45">
        <v>1</v>
      </c>
    </row>
    <row r="400" spans="1:10" s="34" customFormat="1">
      <c r="A400" s="138">
        <v>215</v>
      </c>
      <c r="B400" s="139" t="s">
        <v>1608</v>
      </c>
      <c r="C400" s="140">
        <v>3</v>
      </c>
      <c r="D400" s="139" t="s">
        <v>1650</v>
      </c>
      <c r="E400" s="141" t="s">
        <v>1304</v>
      </c>
      <c r="F400" s="143">
        <v>61</v>
      </c>
      <c r="G400" s="139" t="s">
        <v>596</v>
      </c>
      <c r="H400" s="142" t="s">
        <v>1292</v>
      </c>
      <c r="I400" s="142" t="s">
        <v>1310</v>
      </c>
      <c r="J400" s="45">
        <v>1</v>
      </c>
    </row>
    <row r="401" spans="1:10" s="34" customFormat="1">
      <c r="A401" s="138">
        <v>225</v>
      </c>
      <c r="B401" s="139" t="s">
        <v>1608</v>
      </c>
      <c r="C401" s="140">
        <v>3</v>
      </c>
      <c r="D401" s="139" t="s">
        <v>1652</v>
      </c>
      <c r="E401" s="141" t="s">
        <v>1307</v>
      </c>
      <c r="F401" s="143">
        <v>61</v>
      </c>
      <c r="G401" s="139" t="s">
        <v>996</v>
      </c>
      <c r="H401" s="142" t="s">
        <v>1292</v>
      </c>
      <c r="I401" s="142" t="s">
        <v>1310</v>
      </c>
      <c r="J401" s="45">
        <v>1</v>
      </c>
    </row>
    <row r="402" spans="1:10" s="34" customFormat="1">
      <c r="A402" s="138">
        <v>68</v>
      </c>
      <c r="B402" s="139" t="s">
        <v>1608</v>
      </c>
      <c r="C402" s="140">
        <v>4</v>
      </c>
      <c r="D402" s="139" t="s">
        <v>1555</v>
      </c>
      <c r="E402" s="141" t="s">
        <v>1211</v>
      </c>
      <c r="F402" s="143">
        <v>61</v>
      </c>
      <c r="G402" s="139" t="s">
        <v>1007</v>
      </c>
      <c r="H402" s="142" t="s">
        <v>1292</v>
      </c>
      <c r="I402" s="142" t="s">
        <v>1310</v>
      </c>
      <c r="J402" s="45">
        <v>1</v>
      </c>
    </row>
    <row r="403" spans="1:10" s="34" customFormat="1">
      <c r="A403" s="138">
        <v>272</v>
      </c>
      <c r="B403" s="139" t="s">
        <v>1608</v>
      </c>
      <c r="C403" s="140">
        <v>4</v>
      </c>
      <c r="D403" s="139" t="s">
        <v>1666</v>
      </c>
      <c r="E403" s="141" t="s">
        <v>1338</v>
      </c>
      <c r="F403" s="143">
        <v>61</v>
      </c>
      <c r="G403" s="139" t="s">
        <v>587</v>
      </c>
      <c r="H403" s="142" t="s">
        <v>1292</v>
      </c>
      <c r="I403" s="142" t="s">
        <v>1310</v>
      </c>
      <c r="J403" s="45">
        <v>1</v>
      </c>
    </row>
    <row r="404" spans="1:10" s="34" customFormat="1">
      <c r="A404" s="138">
        <v>288</v>
      </c>
      <c r="B404" s="139" t="s">
        <v>1608</v>
      </c>
      <c r="C404" s="140">
        <v>4</v>
      </c>
      <c r="D404" s="139" t="s">
        <v>1668</v>
      </c>
      <c r="E404" s="141" t="s">
        <v>1347</v>
      </c>
      <c r="F404" s="143">
        <v>61</v>
      </c>
      <c r="G404" s="139" t="s">
        <v>590</v>
      </c>
      <c r="H404" s="142" t="s">
        <v>1292</v>
      </c>
      <c r="I404" s="142" t="s">
        <v>1310</v>
      </c>
      <c r="J404" s="45">
        <v>1</v>
      </c>
    </row>
    <row r="405" spans="1:10" s="34" customFormat="1">
      <c r="A405" s="138">
        <v>67</v>
      </c>
      <c r="B405" s="139" t="s">
        <v>1608</v>
      </c>
      <c r="C405" s="140">
        <v>5</v>
      </c>
      <c r="D405" s="139" t="s">
        <v>1555</v>
      </c>
      <c r="E405" s="141" t="s">
        <v>1210</v>
      </c>
      <c r="F405" s="143">
        <v>61</v>
      </c>
      <c r="G405" s="139" t="s">
        <v>986</v>
      </c>
      <c r="H405" s="142" t="s">
        <v>1292</v>
      </c>
      <c r="I405" s="142" t="s">
        <v>1310</v>
      </c>
      <c r="J405" s="45">
        <v>1</v>
      </c>
    </row>
    <row r="406" spans="1:10" s="34" customFormat="1">
      <c r="A406" s="44">
        <v>193</v>
      </c>
      <c r="B406" s="113" t="s">
        <v>949</v>
      </c>
      <c r="C406" s="114">
        <v>3</v>
      </c>
      <c r="D406" s="113" t="s">
        <v>1647</v>
      </c>
      <c r="E406" s="108" t="s">
        <v>1288</v>
      </c>
      <c r="F406" s="49">
        <v>62</v>
      </c>
      <c r="G406" s="113" t="s">
        <v>1015</v>
      </c>
      <c r="H406" s="137" t="s">
        <v>1310</v>
      </c>
      <c r="I406" s="137" t="s">
        <v>1318</v>
      </c>
      <c r="J406" s="45">
        <v>2</v>
      </c>
    </row>
    <row r="407" spans="1:10" s="34" customFormat="1">
      <c r="A407" s="138">
        <v>101</v>
      </c>
      <c r="B407" s="139" t="s">
        <v>1612</v>
      </c>
      <c r="C407" s="140">
        <v>2</v>
      </c>
      <c r="D407" s="139" t="s">
        <v>1551</v>
      </c>
      <c r="E407" s="141" t="s">
        <v>1234</v>
      </c>
      <c r="F407" s="143">
        <v>63</v>
      </c>
      <c r="G407" s="139" t="s">
        <v>1024</v>
      </c>
      <c r="H407" s="142" t="s">
        <v>1310</v>
      </c>
      <c r="I407" s="142" t="s">
        <v>1288</v>
      </c>
      <c r="J407" s="45">
        <v>1</v>
      </c>
    </row>
    <row r="408" spans="1:10" s="34" customFormat="1">
      <c r="A408" s="138">
        <v>99</v>
      </c>
      <c r="B408" s="139" t="s">
        <v>1612</v>
      </c>
      <c r="C408" s="140">
        <v>4</v>
      </c>
      <c r="D408" s="139" t="s">
        <v>1638</v>
      </c>
      <c r="E408" s="141" t="s">
        <v>1233</v>
      </c>
      <c r="F408" s="143">
        <v>63</v>
      </c>
      <c r="G408" s="139" t="s">
        <v>1010</v>
      </c>
      <c r="H408" s="142" t="s">
        <v>1310</v>
      </c>
      <c r="I408" s="142" t="s">
        <v>1288</v>
      </c>
      <c r="J408" s="45">
        <v>1</v>
      </c>
    </row>
    <row r="409" spans="1:10" s="34" customFormat="1">
      <c r="A409" s="138">
        <v>102</v>
      </c>
      <c r="B409" s="139" t="s">
        <v>1612</v>
      </c>
      <c r="C409" s="140">
        <v>4</v>
      </c>
      <c r="D409" s="139" t="s">
        <v>18</v>
      </c>
      <c r="E409" s="141" t="s">
        <v>1428</v>
      </c>
      <c r="F409" s="143">
        <v>63</v>
      </c>
      <c r="G409" s="139" t="s">
        <v>1427</v>
      </c>
      <c r="H409" s="142" t="s">
        <v>1310</v>
      </c>
      <c r="I409" s="142" t="s">
        <v>1288</v>
      </c>
      <c r="J409" s="45">
        <v>1</v>
      </c>
    </row>
    <row r="410" spans="1:10" s="34" customFormat="1">
      <c r="A410" s="138">
        <v>219</v>
      </c>
      <c r="B410" s="139" t="s">
        <v>1612</v>
      </c>
      <c r="C410" s="140">
        <v>4</v>
      </c>
      <c r="D410" s="139" t="s">
        <v>1651</v>
      </c>
      <c r="E410" s="141" t="s">
        <v>1306</v>
      </c>
      <c r="F410" s="143">
        <v>63</v>
      </c>
      <c r="G410" s="139" t="s">
        <v>587</v>
      </c>
      <c r="H410" s="142" t="s">
        <v>1310</v>
      </c>
      <c r="I410" s="142" t="s">
        <v>1288</v>
      </c>
      <c r="J410" s="45">
        <v>1</v>
      </c>
    </row>
    <row r="411" spans="1:10" s="34" customFormat="1">
      <c r="A411" s="44">
        <v>31</v>
      </c>
      <c r="B411" s="152" t="s">
        <v>1592</v>
      </c>
      <c r="C411" s="186">
        <v>1</v>
      </c>
      <c r="D411" s="152" t="s">
        <v>1622</v>
      </c>
      <c r="E411" s="155" t="s">
        <v>1185</v>
      </c>
      <c r="F411" s="187">
        <v>64</v>
      </c>
      <c r="G411" s="152" t="s">
        <v>587</v>
      </c>
      <c r="H411" s="137" t="s">
        <v>1234</v>
      </c>
      <c r="I411" s="137" t="s">
        <v>1263</v>
      </c>
      <c r="J411" s="45">
        <v>2</v>
      </c>
    </row>
    <row r="412" spans="1:10" s="34" customFormat="1">
      <c r="A412" s="44">
        <v>152</v>
      </c>
      <c r="B412" s="152" t="s">
        <v>1592</v>
      </c>
      <c r="C412" s="186">
        <v>1</v>
      </c>
      <c r="D412" s="152" t="s">
        <v>1553</v>
      </c>
      <c r="E412" s="155" t="s">
        <v>1263</v>
      </c>
      <c r="F412" s="187">
        <v>64</v>
      </c>
      <c r="G412" s="152" t="s">
        <v>1009</v>
      </c>
      <c r="H412" s="137" t="s">
        <v>1234</v>
      </c>
      <c r="I412" s="137" t="s">
        <v>1263</v>
      </c>
      <c r="J412" s="45">
        <v>2</v>
      </c>
    </row>
    <row r="413" spans="1:10" s="34" customFormat="1">
      <c r="A413" s="44">
        <v>198</v>
      </c>
      <c r="B413" s="113" t="s">
        <v>1592</v>
      </c>
      <c r="C413" s="114">
        <v>2</v>
      </c>
      <c r="D413" s="113" t="s">
        <v>1648</v>
      </c>
      <c r="E413" s="108" t="s">
        <v>1292</v>
      </c>
      <c r="F413" s="49">
        <v>64</v>
      </c>
      <c r="G413" s="113" t="s">
        <v>1012</v>
      </c>
      <c r="H413" s="137" t="s">
        <v>1234</v>
      </c>
      <c r="I413" s="137" t="s">
        <v>1263</v>
      </c>
      <c r="J413" s="45">
        <v>2</v>
      </c>
    </row>
    <row r="414" spans="1:10" s="34" customFormat="1">
      <c r="A414" s="44">
        <v>215</v>
      </c>
      <c r="B414" s="113" t="s">
        <v>1592</v>
      </c>
      <c r="C414" s="114">
        <v>2</v>
      </c>
      <c r="D414" s="113" t="s">
        <v>1650</v>
      </c>
      <c r="E414" s="108" t="s">
        <v>1304</v>
      </c>
      <c r="F414" s="49">
        <v>64</v>
      </c>
      <c r="G414" s="113" t="s">
        <v>596</v>
      </c>
      <c r="H414" s="137" t="s">
        <v>1234</v>
      </c>
      <c r="I414" s="137" t="s">
        <v>1263</v>
      </c>
      <c r="J414" s="45">
        <v>2</v>
      </c>
    </row>
    <row r="415" spans="1:10" s="34" customFormat="1">
      <c r="A415" s="44">
        <v>85</v>
      </c>
      <c r="B415" s="113" t="s">
        <v>1592</v>
      </c>
      <c r="C415" s="114">
        <v>3</v>
      </c>
      <c r="D415" s="113" t="s">
        <v>1558</v>
      </c>
      <c r="E415" s="108" t="s">
        <v>1223</v>
      </c>
      <c r="F415" s="49">
        <v>64</v>
      </c>
      <c r="G415" s="113" t="s">
        <v>589</v>
      </c>
      <c r="H415" s="137" t="s">
        <v>1234</v>
      </c>
      <c r="I415" s="137" t="s">
        <v>1263</v>
      </c>
      <c r="J415" s="45">
        <v>2</v>
      </c>
    </row>
    <row r="416" spans="1:10" s="34" customFormat="1">
      <c r="A416" s="44">
        <v>101</v>
      </c>
      <c r="B416" s="113" t="s">
        <v>1592</v>
      </c>
      <c r="C416" s="114">
        <v>3</v>
      </c>
      <c r="D416" s="113" t="s">
        <v>1551</v>
      </c>
      <c r="E416" s="108" t="s">
        <v>1234</v>
      </c>
      <c r="F416" s="49">
        <v>64</v>
      </c>
      <c r="G416" s="113" t="s">
        <v>1024</v>
      </c>
      <c r="H416" s="137" t="s">
        <v>1234</v>
      </c>
      <c r="I416" s="137" t="s">
        <v>1263</v>
      </c>
      <c r="J416" s="45">
        <v>2</v>
      </c>
    </row>
    <row r="417" spans="1:10" s="34" customFormat="1">
      <c r="A417" s="44">
        <v>69</v>
      </c>
      <c r="B417" s="113" t="s">
        <v>1592</v>
      </c>
      <c r="C417" s="114">
        <v>5</v>
      </c>
      <c r="D417" s="113" t="s">
        <v>1555</v>
      </c>
      <c r="E417" s="108" t="s">
        <v>1212</v>
      </c>
      <c r="F417" s="49">
        <v>64</v>
      </c>
      <c r="G417" s="113" t="s">
        <v>587</v>
      </c>
      <c r="H417" s="137" t="s">
        <v>1234</v>
      </c>
      <c r="I417" s="137" t="s">
        <v>1263</v>
      </c>
      <c r="J417" s="45">
        <v>2</v>
      </c>
    </row>
    <row r="418" spans="1:10" s="34" customFormat="1">
      <c r="A418" s="138">
        <v>152</v>
      </c>
      <c r="B418" s="139" t="s">
        <v>578</v>
      </c>
      <c r="C418" s="140">
        <v>2</v>
      </c>
      <c r="D418" s="139" t="s">
        <v>1553</v>
      </c>
      <c r="E418" s="141" t="s">
        <v>1263</v>
      </c>
      <c r="F418" s="143">
        <v>65</v>
      </c>
      <c r="G418" s="139" t="s">
        <v>1009</v>
      </c>
      <c r="H418" s="142" t="s">
        <v>1234</v>
      </c>
      <c r="I418" s="142" t="s">
        <v>1234</v>
      </c>
      <c r="J418" s="45">
        <v>1</v>
      </c>
    </row>
    <row r="419" spans="1:10" s="34" customFormat="1">
      <c r="A419" s="138">
        <v>31</v>
      </c>
      <c r="B419" s="139" t="s">
        <v>578</v>
      </c>
      <c r="C419" s="140">
        <v>5</v>
      </c>
      <c r="D419" s="139" t="s">
        <v>1622</v>
      </c>
      <c r="E419" s="141" t="s">
        <v>1185</v>
      </c>
      <c r="F419" s="143">
        <v>65</v>
      </c>
      <c r="G419" s="139" t="s">
        <v>587</v>
      </c>
      <c r="H419" s="142" t="s">
        <v>1234</v>
      </c>
      <c r="I419" s="142" t="s">
        <v>1234</v>
      </c>
      <c r="J419" s="45">
        <v>1</v>
      </c>
    </row>
    <row r="420" spans="1:10" s="34" customFormat="1">
      <c r="A420" s="44">
        <v>31</v>
      </c>
      <c r="B420" s="113" t="s">
        <v>958</v>
      </c>
      <c r="C420" s="114">
        <v>4</v>
      </c>
      <c r="D420" s="113" t="s">
        <v>1622</v>
      </c>
      <c r="E420" s="108" t="s">
        <v>1185</v>
      </c>
      <c r="F420" s="49">
        <v>66</v>
      </c>
      <c r="G420" s="113" t="s">
        <v>587</v>
      </c>
      <c r="H420" s="137">
        <v>0</v>
      </c>
      <c r="I420" s="137" t="s">
        <v>1185</v>
      </c>
      <c r="J420" s="45">
        <v>2</v>
      </c>
    </row>
    <row r="421" spans="1:10" s="34" customFormat="1">
      <c r="A421" s="138">
        <v>97</v>
      </c>
      <c r="B421" s="153" t="s">
        <v>1584</v>
      </c>
      <c r="C421" s="192">
        <v>1</v>
      </c>
      <c r="D421" s="153" t="s">
        <v>1559</v>
      </c>
      <c r="E421" s="193" t="s">
        <v>1232</v>
      </c>
      <c r="F421" s="194">
        <v>67</v>
      </c>
      <c r="G421" s="153" t="s">
        <v>971</v>
      </c>
      <c r="H421" s="195" t="s">
        <v>1416</v>
      </c>
      <c r="I421" s="195" t="s">
        <v>1241</v>
      </c>
      <c r="J421" s="45">
        <v>1</v>
      </c>
    </row>
    <row r="422" spans="1:10" s="34" customFormat="1">
      <c r="A422" s="44">
        <v>233</v>
      </c>
      <c r="B422" s="113" t="s">
        <v>583</v>
      </c>
      <c r="C422" s="114">
        <v>3</v>
      </c>
      <c r="D422" s="113" t="s">
        <v>1654</v>
      </c>
      <c r="E422" s="108" t="s">
        <v>1313</v>
      </c>
      <c r="F422" s="49">
        <v>68</v>
      </c>
      <c r="G422" s="113" t="s">
        <v>975</v>
      </c>
      <c r="H422" s="137" t="s">
        <v>1319</v>
      </c>
      <c r="I422" s="137" t="s">
        <v>1313</v>
      </c>
      <c r="J422" s="45">
        <v>2</v>
      </c>
    </row>
    <row r="423" spans="1:10" s="34" customFormat="1">
      <c r="A423" s="138">
        <v>46</v>
      </c>
      <c r="B423" s="139" t="s">
        <v>1600</v>
      </c>
      <c r="C423" s="140">
        <v>2</v>
      </c>
      <c r="D423" s="139" t="s">
        <v>1624</v>
      </c>
      <c r="E423" s="141" t="s">
        <v>1198</v>
      </c>
      <c r="F423" s="143">
        <v>69</v>
      </c>
      <c r="G423" s="139" t="s">
        <v>596</v>
      </c>
      <c r="H423" s="142" t="s">
        <v>1198</v>
      </c>
      <c r="I423" s="142" t="s">
        <v>1231</v>
      </c>
      <c r="J423" s="45">
        <v>1</v>
      </c>
    </row>
    <row r="424" spans="1:10" s="34" customFormat="1">
      <c r="A424" s="138">
        <v>215</v>
      </c>
      <c r="B424" s="139" t="s">
        <v>1600</v>
      </c>
      <c r="C424" s="140">
        <v>4</v>
      </c>
      <c r="D424" s="139" t="s">
        <v>1650</v>
      </c>
      <c r="E424" s="141" t="s">
        <v>1304</v>
      </c>
      <c r="F424" s="143">
        <v>69</v>
      </c>
      <c r="G424" s="139" t="s">
        <v>596</v>
      </c>
      <c r="H424" s="142" t="s">
        <v>1198</v>
      </c>
      <c r="I424" s="142" t="s">
        <v>1231</v>
      </c>
      <c r="J424" s="45">
        <v>1</v>
      </c>
    </row>
    <row r="425" spans="1:10" s="34" customFormat="1">
      <c r="A425" s="44">
        <v>1</v>
      </c>
      <c r="B425" s="152" t="s">
        <v>1572</v>
      </c>
      <c r="C425" s="186">
        <v>1</v>
      </c>
      <c r="D425" s="152" t="s">
        <v>1619</v>
      </c>
      <c r="E425" s="155" t="s">
        <v>1172</v>
      </c>
      <c r="F425" s="187">
        <v>70</v>
      </c>
      <c r="G425" s="152" t="s">
        <v>971</v>
      </c>
      <c r="H425" s="137" t="s">
        <v>1193</v>
      </c>
      <c r="I425" s="137" t="s">
        <v>1304</v>
      </c>
      <c r="J425" s="45">
        <v>2</v>
      </c>
    </row>
    <row r="426" spans="1:10" s="34" customFormat="1">
      <c r="A426" s="138">
        <v>215</v>
      </c>
      <c r="B426" s="153" t="s">
        <v>582</v>
      </c>
      <c r="C426" s="192">
        <v>1</v>
      </c>
      <c r="D426" s="153" t="s">
        <v>1650</v>
      </c>
      <c r="E426" s="193" t="s">
        <v>1304</v>
      </c>
      <c r="F426" s="194">
        <v>72</v>
      </c>
      <c r="G426" s="153" t="s">
        <v>596</v>
      </c>
      <c r="H426" s="195" t="s">
        <v>1172</v>
      </c>
      <c r="I426" s="195" t="s">
        <v>1416</v>
      </c>
      <c r="J426" s="45">
        <v>1</v>
      </c>
    </row>
    <row r="427" spans="1:10" s="34" customFormat="1">
      <c r="A427" s="138">
        <v>1</v>
      </c>
      <c r="B427" s="139" t="s">
        <v>582</v>
      </c>
      <c r="C427" s="140">
        <v>2</v>
      </c>
      <c r="D427" s="139" t="s">
        <v>1619</v>
      </c>
      <c r="E427" s="141" t="s">
        <v>1172</v>
      </c>
      <c r="F427" s="143">
        <v>72</v>
      </c>
      <c r="G427" s="139" t="s">
        <v>971</v>
      </c>
      <c r="H427" s="142" t="s">
        <v>1172</v>
      </c>
      <c r="I427" s="142" t="s">
        <v>1416</v>
      </c>
      <c r="J427" s="45">
        <v>1</v>
      </c>
    </row>
    <row r="428" spans="1:10" s="34" customFormat="1">
      <c r="A428" s="44">
        <v>45</v>
      </c>
      <c r="B428" s="113" t="s">
        <v>551</v>
      </c>
      <c r="C428" s="114">
        <v>4</v>
      </c>
      <c r="D428" s="113" t="s">
        <v>1624</v>
      </c>
      <c r="E428" s="108" t="s">
        <v>1197</v>
      </c>
      <c r="F428" s="49">
        <v>73</v>
      </c>
      <c r="G428" s="113" t="s">
        <v>587</v>
      </c>
      <c r="H428" s="137" t="s">
        <v>1191</v>
      </c>
      <c r="I428" s="137" t="s">
        <v>1231</v>
      </c>
      <c r="J428" s="45">
        <v>2</v>
      </c>
    </row>
    <row r="429" spans="1:10" s="34" customFormat="1">
      <c r="A429" s="138">
        <v>87</v>
      </c>
      <c r="B429" s="139" t="s">
        <v>584</v>
      </c>
      <c r="C429" s="140">
        <v>4</v>
      </c>
      <c r="D429" s="139" t="s">
        <v>1635</v>
      </c>
      <c r="E429" s="141" t="s">
        <v>1225</v>
      </c>
      <c r="F429" s="143">
        <v>74</v>
      </c>
      <c r="G429" s="139" t="s">
        <v>1000</v>
      </c>
      <c r="H429" s="142" t="s">
        <v>1217</v>
      </c>
      <c r="I429" s="142" t="s">
        <v>1226</v>
      </c>
      <c r="J429" s="45">
        <v>1</v>
      </c>
    </row>
    <row r="430" spans="1:10" s="34" customFormat="1">
      <c r="A430" s="44">
        <v>257</v>
      </c>
      <c r="B430" s="113" t="s">
        <v>1617</v>
      </c>
      <c r="C430" s="114">
        <v>5</v>
      </c>
      <c r="D430" s="113" t="s">
        <v>1663</v>
      </c>
      <c r="E430" s="108" t="s">
        <v>1330</v>
      </c>
      <c r="F430" s="49">
        <v>75</v>
      </c>
      <c r="G430" s="113" t="s">
        <v>602</v>
      </c>
      <c r="H430" s="137">
        <v>0</v>
      </c>
      <c r="I430" s="137">
        <v>0</v>
      </c>
      <c r="J430" s="45">
        <v>2</v>
      </c>
    </row>
    <row r="431" spans="1:10" s="34" customFormat="1">
      <c r="A431" s="138">
        <v>240</v>
      </c>
      <c r="B431" s="153" t="s">
        <v>1613</v>
      </c>
      <c r="C431" s="192">
        <v>1</v>
      </c>
      <c r="D431" s="153" t="s">
        <v>1657</v>
      </c>
      <c r="E431" s="193" t="s">
        <v>1320</v>
      </c>
      <c r="F431" s="194">
        <v>76</v>
      </c>
      <c r="G431" s="153" t="s">
        <v>598</v>
      </c>
      <c r="H431" s="195" t="s">
        <v>1183</v>
      </c>
      <c r="I431" s="195" t="s">
        <v>1343</v>
      </c>
      <c r="J431" s="45">
        <v>1</v>
      </c>
    </row>
    <row r="432" spans="1:10" s="34" customFormat="1">
      <c r="A432" s="138">
        <v>135</v>
      </c>
      <c r="B432" s="139" t="s">
        <v>1613</v>
      </c>
      <c r="C432" s="140">
        <v>3</v>
      </c>
      <c r="D432" s="139" t="s">
        <v>1553</v>
      </c>
      <c r="E432" s="141" t="s">
        <v>1256</v>
      </c>
      <c r="F432" s="143">
        <v>76</v>
      </c>
      <c r="G432" s="139" t="s">
        <v>597</v>
      </c>
      <c r="H432" s="142" t="s">
        <v>1183</v>
      </c>
      <c r="I432" s="142" t="s">
        <v>1343</v>
      </c>
      <c r="J432" s="45">
        <v>1</v>
      </c>
    </row>
    <row r="433" spans="1:10" s="34" customFormat="1">
      <c r="A433" s="138">
        <v>234</v>
      </c>
      <c r="B433" s="139" t="s">
        <v>1613</v>
      </c>
      <c r="C433" s="140">
        <v>3</v>
      </c>
      <c r="D433" s="139" t="s">
        <v>1655</v>
      </c>
      <c r="E433" s="141" t="s">
        <v>1314</v>
      </c>
      <c r="F433" s="143">
        <v>76</v>
      </c>
      <c r="G433" s="139" t="s">
        <v>599</v>
      </c>
      <c r="H433" s="142" t="s">
        <v>1183</v>
      </c>
      <c r="I433" s="142" t="s">
        <v>1343</v>
      </c>
      <c r="J433" s="45">
        <v>1</v>
      </c>
    </row>
    <row r="434" spans="1:10" s="34" customFormat="1">
      <c r="A434" s="138">
        <v>196</v>
      </c>
      <c r="B434" s="139" t="s">
        <v>1613</v>
      </c>
      <c r="C434" s="140">
        <v>4</v>
      </c>
      <c r="D434" s="139" t="s">
        <v>1648</v>
      </c>
      <c r="E434" s="141" t="s">
        <v>1291</v>
      </c>
      <c r="F434" s="143">
        <v>76</v>
      </c>
      <c r="G434" s="139" t="s">
        <v>999</v>
      </c>
      <c r="H434" s="142" t="s">
        <v>1183</v>
      </c>
      <c r="I434" s="142" t="s">
        <v>1343</v>
      </c>
      <c r="J434" s="45">
        <v>1</v>
      </c>
    </row>
    <row r="435" spans="1:10" s="34" customFormat="1">
      <c r="A435" s="138">
        <v>212</v>
      </c>
      <c r="B435" s="139" t="s">
        <v>1613</v>
      </c>
      <c r="C435" s="140">
        <v>4</v>
      </c>
      <c r="D435" s="139" t="s">
        <v>1649</v>
      </c>
      <c r="E435" s="141" t="s">
        <v>1301</v>
      </c>
      <c r="F435" s="143">
        <v>76</v>
      </c>
      <c r="G435" s="139" t="s">
        <v>598</v>
      </c>
      <c r="H435" s="142" t="s">
        <v>1183</v>
      </c>
      <c r="I435" s="142" t="s">
        <v>1343</v>
      </c>
      <c r="J435" s="45">
        <v>1</v>
      </c>
    </row>
    <row r="436" spans="1:10" s="34" customFormat="1">
      <c r="A436" s="138">
        <v>271</v>
      </c>
      <c r="B436" s="139" t="s">
        <v>1613</v>
      </c>
      <c r="C436" s="140">
        <v>5</v>
      </c>
      <c r="D436" s="139" t="s">
        <v>1665</v>
      </c>
      <c r="E436" s="141" t="s">
        <v>1337</v>
      </c>
      <c r="F436" s="143">
        <v>76</v>
      </c>
      <c r="G436" s="139" t="s">
        <v>593</v>
      </c>
      <c r="H436" s="142" t="s">
        <v>1183</v>
      </c>
      <c r="I436" s="142" t="s">
        <v>1343</v>
      </c>
      <c r="J436" s="45">
        <v>1</v>
      </c>
    </row>
    <row r="437" spans="1:10" s="34" customFormat="1">
      <c r="A437" s="44">
        <v>237</v>
      </c>
      <c r="B437" s="113" t="s">
        <v>1615</v>
      </c>
      <c r="C437" s="114">
        <v>3</v>
      </c>
      <c r="D437" s="113" t="s">
        <v>1656</v>
      </c>
      <c r="E437" s="108" t="s">
        <v>1317</v>
      </c>
      <c r="F437" s="49">
        <v>77</v>
      </c>
      <c r="G437" s="113" t="s">
        <v>599</v>
      </c>
      <c r="H437" s="137" t="s">
        <v>1282</v>
      </c>
      <c r="I437" s="137" t="s">
        <v>1286</v>
      </c>
      <c r="J437" s="45">
        <v>2</v>
      </c>
    </row>
    <row r="438" spans="1:10" s="34" customFormat="1">
      <c r="A438" s="44">
        <v>240</v>
      </c>
      <c r="B438" s="113" t="s">
        <v>1615</v>
      </c>
      <c r="C438" s="114">
        <v>4</v>
      </c>
      <c r="D438" s="113" t="s">
        <v>1657</v>
      </c>
      <c r="E438" s="108" t="s">
        <v>1320</v>
      </c>
      <c r="F438" s="49">
        <v>77</v>
      </c>
      <c r="G438" s="113" t="s">
        <v>598</v>
      </c>
      <c r="H438" s="137" t="s">
        <v>1282</v>
      </c>
      <c r="I438" s="137" t="s">
        <v>1286</v>
      </c>
      <c r="J438" s="45">
        <v>2</v>
      </c>
    </row>
    <row r="439" spans="1:10" s="34" customFormat="1">
      <c r="A439" s="44">
        <v>189</v>
      </c>
      <c r="B439" s="113" t="s">
        <v>1615</v>
      </c>
      <c r="C439" s="114">
        <v>5</v>
      </c>
      <c r="D439" s="113" t="s">
        <v>1645</v>
      </c>
      <c r="E439" s="108" t="s">
        <v>1286</v>
      </c>
      <c r="F439" s="49">
        <v>77</v>
      </c>
      <c r="G439" s="113" t="s">
        <v>598</v>
      </c>
      <c r="H439" s="137" t="s">
        <v>1282</v>
      </c>
      <c r="I439" s="137" t="s">
        <v>1286</v>
      </c>
      <c r="J439" s="45">
        <v>2</v>
      </c>
    </row>
    <row r="440" spans="1:10" s="34" customFormat="1">
      <c r="A440" s="138">
        <v>26</v>
      </c>
      <c r="B440" s="153" t="s">
        <v>1589</v>
      </c>
      <c r="C440" s="192">
        <v>1</v>
      </c>
      <c r="D440" s="153" t="s">
        <v>1622</v>
      </c>
      <c r="E440" s="193" t="s">
        <v>1183</v>
      </c>
      <c r="F440" s="194">
        <v>78</v>
      </c>
      <c r="G440" s="153" t="s">
        <v>985</v>
      </c>
      <c r="H440" s="195" t="s">
        <v>1314</v>
      </c>
      <c r="I440" s="195" t="s">
        <v>1317</v>
      </c>
      <c r="J440" s="45">
        <v>1</v>
      </c>
    </row>
    <row r="441" spans="1:10" s="34" customFormat="1">
      <c r="A441" s="138">
        <v>237</v>
      </c>
      <c r="B441" s="153" t="s">
        <v>1589</v>
      </c>
      <c r="C441" s="192">
        <v>1</v>
      </c>
      <c r="D441" s="153" t="s">
        <v>1656</v>
      </c>
      <c r="E441" s="193" t="s">
        <v>1317</v>
      </c>
      <c r="F441" s="194">
        <v>78</v>
      </c>
      <c r="G441" s="153" t="s">
        <v>599</v>
      </c>
      <c r="H441" s="195" t="s">
        <v>1314</v>
      </c>
      <c r="I441" s="195" t="s">
        <v>1317</v>
      </c>
      <c r="J441" s="45">
        <v>1</v>
      </c>
    </row>
    <row r="442" spans="1:10" s="34" customFormat="1">
      <c r="A442" s="138">
        <v>63</v>
      </c>
      <c r="B442" s="139" t="s">
        <v>1589</v>
      </c>
      <c r="C442" s="140">
        <v>2</v>
      </c>
      <c r="D442" s="139" t="s">
        <v>1555</v>
      </c>
      <c r="E442" s="141" t="s">
        <v>1207</v>
      </c>
      <c r="F442" s="143">
        <v>78</v>
      </c>
      <c r="G442" s="139" t="s">
        <v>598</v>
      </c>
      <c r="H442" s="142" t="s">
        <v>1314</v>
      </c>
      <c r="I442" s="142" t="s">
        <v>1317</v>
      </c>
      <c r="J442" s="45">
        <v>1</v>
      </c>
    </row>
    <row r="443" spans="1:10" s="34" customFormat="1">
      <c r="A443" s="138">
        <v>217</v>
      </c>
      <c r="B443" s="139" t="s">
        <v>1589</v>
      </c>
      <c r="C443" s="140">
        <v>2</v>
      </c>
      <c r="D443" s="139" t="s">
        <v>1651</v>
      </c>
      <c r="E443" s="141" t="s">
        <v>1430</v>
      </c>
      <c r="F443" s="143">
        <v>78</v>
      </c>
      <c r="G443" s="139" t="s">
        <v>590</v>
      </c>
      <c r="H443" s="142" t="s">
        <v>1314</v>
      </c>
      <c r="I443" s="142" t="s">
        <v>1317</v>
      </c>
      <c r="J443" s="45">
        <v>1</v>
      </c>
    </row>
    <row r="444" spans="1:10" s="34" customFormat="1">
      <c r="A444" s="138">
        <v>198</v>
      </c>
      <c r="B444" s="139" t="s">
        <v>1589</v>
      </c>
      <c r="C444" s="140">
        <v>3</v>
      </c>
      <c r="D444" s="139" t="s">
        <v>1648</v>
      </c>
      <c r="E444" s="141" t="s">
        <v>1292</v>
      </c>
      <c r="F444" s="143">
        <v>78</v>
      </c>
      <c r="G444" s="139" t="s">
        <v>1012</v>
      </c>
      <c r="H444" s="142" t="s">
        <v>1314</v>
      </c>
      <c r="I444" s="142" t="s">
        <v>1317</v>
      </c>
      <c r="J444" s="45">
        <v>1</v>
      </c>
    </row>
    <row r="445" spans="1:10" s="34" customFormat="1">
      <c r="A445" s="138">
        <v>89</v>
      </c>
      <c r="B445" s="139" t="s">
        <v>1589</v>
      </c>
      <c r="C445" s="140">
        <v>5</v>
      </c>
      <c r="D445" s="139" t="s">
        <v>1636</v>
      </c>
      <c r="E445" s="141" t="s">
        <v>1227</v>
      </c>
      <c r="F445" s="143">
        <v>78</v>
      </c>
      <c r="G445" s="139" t="s">
        <v>602</v>
      </c>
      <c r="H445" s="142" t="s">
        <v>1314</v>
      </c>
      <c r="I445" s="142" t="s">
        <v>1317</v>
      </c>
      <c r="J445" s="45">
        <v>1</v>
      </c>
    </row>
    <row r="446" spans="1:10" s="34" customFormat="1">
      <c r="A446" s="138">
        <v>260</v>
      </c>
      <c r="B446" s="139" t="s">
        <v>1589</v>
      </c>
      <c r="C446" s="140">
        <v>5</v>
      </c>
      <c r="D446" s="139" t="s">
        <v>1664</v>
      </c>
      <c r="E446" s="141" t="s">
        <v>1332</v>
      </c>
      <c r="F446" s="143">
        <v>78</v>
      </c>
      <c r="G446" s="139" t="s">
        <v>599</v>
      </c>
      <c r="H446" s="142" t="s">
        <v>1314</v>
      </c>
      <c r="I446" s="142" t="s">
        <v>1317</v>
      </c>
      <c r="J446" s="45">
        <v>1</v>
      </c>
    </row>
    <row r="447" spans="1:10" s="34" customFormat="1">
      <c r="A447" s="44">
        <v>63</v>
      </c>
      <c r="B447" s="152" t="s">
        <v>575</v>
      </c>
      <c r="C447" s="186">
        <v>1</v>
      </c>
      <c r="D447" s="152" t="s">
        <v>1555</v>
      </c>
      <c r="E447" s="155" t="s">
        <v>1207</v>
      </c>
      <c r="F447" s="187">
        <v>79</v>
      </c>
      <c r="G447" s="152" t="s">
        <v>598</v>
      </c>
      <c r="H447" s="137" t="s">
        <v>1317</v>
      </c>
      <c r="I447" s="137" t="s">
        <v>1207</v>
      </c>
      <c r="J447" s="45">
        <v>2</v>
      </c>
    </row>
    <row r="448" spans="1:10" s="34" customFormat="1">
      <c r="A448" s="44">
        <v>189</v>
      </c>
      <c r="B448" s="152" t="s">
        <v>575</v>
      </c>
      <c r="C448" s="186">
        <v>1</v>
      </c>
      <c r="D448" s="152" t="s">
        <v>1645</v>
      </c>
      <c r="E448" s="155" t="s">
        <v>1286</v>
      </c>
      <c r="F448" s="187">
        <v>79</v>
      </c>
      <c r="G448" s="152" t="s">
        <v>598</v>
      </c>
      <c r="H448" s="137" t="s">
        <v>1317</v>
      </c>
      <c r="I448" s="137" t="s">
        <v>1207</v>
      </c>
      <c r="J448" s="45">
        <v>2</v>
      </c>
    </row>
    <row r="449" spans="1:10" s="34" customFormat="1">
      <c r="A449" s="49">
        <v>292</v>
      </c>
      <c r="B449" s="155" t="s">
        <v>575</v>
      </c>
      <c r="C449" s="187">
        <v>1</v>
      </c>
      <c r="D449" s="155" t="s">
        <v>962</v>
      </c>
      <c r="E449" s="155" t="s">
        <v>1433</v>
      </c>
      <c r="F449" s="187">
        <v>79</v>
      </c>
      <c r="G449" s="198" t="s">
        <v>1414</v>
      </c>
      <c r="H449" s="137" t="s">
        <v>1317</v>
      </c>
      <c r="I449" s="137" t="s">
        <v>1207</v>
      </c>
      <c r="J449" s="45">
        <v>2</v>
      </c>
    </row>
    <row r="450" spans="1:10" s="34" customFormat="1">
      <c r="A450" s="44">
        <v>237</v>
      </c>
      <c r="B450" s="113" t="s">
        <v>575</v>
      </c>
      <c r="C450" s="114">
        <v>2</v>
      </c>
      <c r="D450" s="113" t="s">
        <v>1656</v>
      </c>
      <c r="E450" s="108" t="s">
        <v>1317</v>
      </c>
      <c r="F450" s="49">
        <v>79</v>
      </c>
      <c r="G450" s="113" t="s">
        <v>599</v>
      </c>
      <c r="H450" s="137" t="s">
        <v>1317</v>
      </c>
      <c r="I450" s="137" t="s">
        <v>1207</v>
      </c>
      <c r="J450" s="45">
        <v>2</v>
      </c>
    </row>
    <row r="451" spans="1:10" s="34" customFormat="1">
      <c r="A451" s="138">
        <v>93</v>
      </c>
      <c r="B451" s="153" t="s">
        <v>1594</v>
      </c>
      <c r="C451" s="192">
        <v>1</v>
      </c>
      <c r="D451" s="153" t="s">
        <v>1637</v>
      </c>
      <c r="E451" s="193" t="s">
        <v>1230</v>
      </c>
      <c r="F451" s="194">
        <v>80</v>
      </c>
      <c r="G451" s="153" t="s">
        <v>1023</v>
      </c>
      <c r="H451" s="195" t="s">
        <v>1283</v>
      </c>
      <c r="I451" s="195" t="s">
        <v>1245</v>
      </c>
      <c r="J451" s="45">
        <v>1</v>
      </c>
    </row>
    <row r="452" spans="1:10" s="34" customFormat="1">
      <c r="A452" s="138">
        <v>199</v>
      </c>
      <c r="B452" s="153" t="s">
        <v>1594</v>
      </c>
      <c r="C452" s="192">
        <v>1</v>
      </c>
      <c r="D452" s="153" t="s">
        <v>1648</v>
      </c>
      <c r="E452" s="193" t="s">
        <v>1293</v>
      </c>
      <c r="F452" s="194">
        <v>80</v>
      </c>
      <c r="G452" s="153" t="s">
        <v>973</v>
      </c>
      <c r="H452" s="195" t="s">
        <v>1283</v>
      </c>
      <c r="I452" s="195" t="s">
        <v>1245</v>
      </c>
      <c r="J452" s="45">
        <v>1</v>
      </c>
    </row>
    <row r="453" spans="1:10" s="34" customFormat="1">
      <c r="A453" s="138">
        <v>258</v>
      </c>
      <c r="B453" s="153" t="s">
        <v>1594</v>
      </c>
      <c r="C453" s="192">
        <v>1</v>
      </c>
      <c r="D453" s="153" t="s">
        <v>1663</v>
      </c>
      <c r="E453" s="193" t="s">
        <v>1331</v>
      </c>
      <c r="F453" s="194">
        <v>80</v>
      </c>
      <c r="G453" s="153" t="s">
        <v>604</v>
      </c>
      <c r="H453" s="195" t="s">
        <v>1283</v>
      </c>
      <c r="I453" s="195" t="s">
        <v>1245</v>
      </c>
      <c r="J453" s="45">
        <v>1</v>
      </c>
    </row>
    <row r="454" spans="1:10" s="34" customFormat="1">
      <c r="A454" s="138">
        <v>269</v>
      </c>
      <c r="B454" s="153" t="s">
        <v>1594</v>
      </c>
      <c r="C454" s="192">
        <v>1</v>
      </c>
      <c r="D454" s="153" t="s">
        <v>1665</v>
      </c>
      <c r="E454" s="193" t="s">
        <v>1336</v>
      </c>
      <c r="F454" s="194">
        <v>80</v>
      </c>
      <c r="G454" s="153" t="s">
        <v>1035</v>
      </c>
      <c r="H454" s="195" t="s">
        <v>1283</v>
      </c>
      <c r="I454" s="195" t="s">
        <v>1245</v>
      </c>
      <c r="J454" s="45">
        <v>1</v>
      </c>
    </row>
    <row r="455" spans="1:10" s="34" customFormat="1">
      <c r="A455" s="138">
        <v>90</v>
      </c>
      <c r="B455" s="139" t="s">
        <v>1594</v>
      </c>
      <c r="C455" s="140">
        <v>2</v>
      </c>
      <c r="D455" s="139" t="s">
        <v>1636</v>
      </c>
      <c r="E455" s="141" t="s">
        <v>1228</v>
      </c>
      <c r="F455" s="143">
        <v>80</v>
      </c>
      <c r="G455" s="139" t="s">
        <v>600</v>
      </c>
      <c r="H455" s="142" t="s">
        <v>1283</v>
      </c>
      <c r="I455" s="142" t="s">
        <v>1245</v>
      </c>
      <c r="J455" s="45">
        <v>1</v>
      </c>
    </row>
    <row r="456" spans="1:10" s="34" customFormat="1">
      <c r="A456" s="138">
        <v>35</v>
      </c>
      <c r="B456" s="139" t="s">
        <v>1594</v>
      </c>
      <c r="C456" s="196">
        <v>3</v>
      </c>
      <c r="D456" s="189" t="s">
        <v>1567</v>
      </c>
      <c r="E456" s="190" t="s">
        <v>1188</v>
      </c>
      <c r="F456" s="191">
        <v>80</v>
      </c>
      <c r="G456" s="189" t="s">
        <v>587</v>
      </c>
      <c r="H456" s="142" t="s">
        <v>1283</v>
      </c>
      <c r="I456" s="142" t="s">
        <v>1245</v>
      </c>
      <c r="J456" s="45">
        <v>1</v>
      </c>
    </row>
    <row r="457" spans="1:10" s="34" customFormat="1">
      <c r="A457" s="138">
        <v>206</v>
      </c>
      <c r="B457" s="139" t="s">
        <v>1594</v>
      </c>
      <c r="C457" s="140">
        <v>5</v>
      </c>
      <c r="D457" s="139" t="s">
        <v>1649</v>
      </c>
      <c r="E457" s="141" t="s">
        <v>1295</v>
      </c>
      <c r="F457" s="143">
        <v>80</v>
      </c>
      <c r="G457" s="139" t="s">
        <v>596</v>
      </c>
      <c r="H457" s="142" t="s">
        <v>1283</v>
      </c>
      <c r="I457" s="142" t="s">
        <v>1245</v>
      </c>
      <c r="J457" s="45">
        <v>1</v>
      </c>
    </row>
    <row r="458" spans="1:10" s="34" customFormat="1">
      <c r="A458" s="44">
        <v>42</v>
      </c>
      <c r="B458" s="152" t="s">
        <v>546</v>
      </c>
      <c r="C458" s="186">
        <v>1</v>
      </c>
      <c r="D458" s="152" t="s">
        <v>1564</v>
      </c>
      <c r="E458" s="155" t="s">
        <v>1194</v>
      </c>
      <c r="F458" s="187">
        <v>81</v>
      </c>
      <c r="G458" s="152" t="s">
        <v>600</v>
      </c>
      <c r="H458" s="137" t="s">
        <v>1238</v>
      </c>
      <c r="I458" s="137" t="s">
        <v>1200</v>
      </c>
      <c r="J458" s="45">
        <v>2</v>
      </c>
    </row>
    <row r="459" spans="1:10" s="34" customFormat="1">
      <c r="A459" s="44">
        <v>71</v>
      </c>
      <c r="B459" s="152" t="s">
        <v>546</v>
      </c>
      <c r="C459" s="186">
        <v>1</v>
      </c>
      <c r="D459" s="152" t="s">
        <v>1631</v>
      </c>
      <c r="E459" s="155" t="s">
        <v>1214</v>
      </c>
      <c r="F459" s="187">
        <v>81</v>
      </c>
      <c r="G459" s="152" t="s">
        <v>1034</v>
      </c>
      <c r="H459" s="137" t="s">
        <v>1238</v>
      </c>
      <c r="I459" s="137" t="s">
        <v>1200</v>
      </c>
      <c r="J459" s="45">
        <v>2</v>
      </c>
    </row>
    <row r="460" spans="1:10" s="34" customFormat="1">
      <c r="A460" s="44">
        <v>84</v>
      </c>
      <c r="B460" s="152" t="s">
        <v>546</v>
      </c>
      <c r="C460" s="186">
        <v>1</v>
      </c>
      <c r="D460" s="152" t="s">
        <v>1634</v>
      </c>
      <c r="E460" s="155" t="s">
        <v>1222</v>
      </c>
      <c r="F460" s="187">
        <v>81</v>
      </c>
      <c r="G460" s="152" t="s">
        <v>976</v>
      </c>
      <c r="H460" s="137" t="s">
        <v>1238</v>
      </c>
      <c r="I460" s="137" t="s">
        <v>1200</v>
      </c>
      <c r="J460" s="45">
        <v>2</v>
      </c>
    </row>
    <row r="461" spans="1:10" s="34" customFormat="1">
      <c r="A461" s="44">
        <v>173</v>
      </c>
      <c r="B461" s="152" t="s">
        <v>546</v>
      </c>
      <c r="C461" s="186">
        <v>1</v>
      </c>
      <c r="D461" s="152" t="s">
        <v>1641</v>
      </c>
      <c r="E461" s="155" t="s">
        <v>1277</v>
      </c>
      <c r="F461" s="187">
        <v>81</v>
      </c>
      <c r="G461" s="152" t="s">
        <v>589</v>
      </c>
      <c r="H461" s="137" t="s">
        <v>1238</v>
      </c>
      <c r="I461" s="137" t="s">
        <v>1200</v>
      </c>
      <c r="J461" s="45">
        <v>2</v>
      </c>
    </row>
    <row r="462" spans="1:10" s="34" customFormat="1">
      <c r="A462" s="44">
        <v>233</v>
      </c>
      <c r="B462" s="152" t="s">
        <v>546</v>
      </c>
      <c r="C462" s="186">
        <v>1</v>
      </c>
      <c r="D462" s="152" t="s">
        <v>1654</v>
      </c>
      <c r="E462" s="155" t="s">
        <v>1313</v>
      </c>
      <c r="F462" s="187">
        <v>81</v>
      </c>
      <c r="G462" s="152" t="s">
        <v>975</v>
      </c>
      <c r="H462" s="137" t="s">
        <v>1238</v>
      </c>
      <c r="I462" s="137" t="s">
        <v>1200</v>
      </c>
      <c r="J462" s="45">
        <v>2</v>
      </c>
    </row>
    <row r="463" spans="1:10" s="34" customFormat="1">
      <c r="A463" s="44">
        <v>145</v>
      </c>
      <c r="B463" s="113" t="s">
        <v>546</v>
      </c>
      <c r="C463" s="114">
        <v>2</v>
      </c>
      <c r="D463" s="113" t="s">
        <v>1553</v>
      </c>
      <c r="E463" s="108" t="s">
        <v>1261</v>
      </c>
      <c r="F463" s="49">
        <v>81</v>
      </c>
      <c r="G463" s="113" t="s">
        <v>601</v>
      </c>
      <c r="H463" s="137" t="s">
        <v>1238</v>
      </c>
      <c r="I463" s="137" t="s">
        <v>1200</v>
      </c>
      <c r="J463" s="45">
        <v>2</v>
      </c>
    </row>
    <row r="464" spans="1:10" s="34" customFormat="1">
      <c r="A464" s="115">
        <v>290</v>
      </c>
      <c r="B464" s="116" t="s">
        <v>546</v>
      </c>
      <c r="C464" s="117">
        <v>2</v>
      </c>
      <c r="D464" s="116" t="s">
        <v>1668</v>
      </c>
      <c r="E464" s="108" t="s">
        <v>1349</v>
      </c>
      <c r="F464" s="49">
        <v>81</v>
      </c>
      <c r="G464" s="116" t="s">
        <v>1019</v>
      </c>
      <c r="H464" s="137" t="s">
        <v>1238</v>
      </c>
      <c r="I464" s="137" t="s">
        <v>1200</v>
      </c>
      <c r="J464" s="45">
        <v>2</v>
      </c>
    </row>
    <row r="465" spans="1:10" s="34" customFormat="1">
      <c r="A465" s="44">
        <v>137</v>
      </c>
      <c r="B465" s="113" t="s">
        <v>546</v>
      </c>
      <c r="C465" s="114">
        <v>3</v>
      </c>
      <c r="D465" s="113" t="s">
        <v>1553</v>
      </c>
      <c r="E465" s="108" t="s">
        <v>1257</v>
      </c>
      <c r="F465" s="49">
        <v>81</v>
      </c>
      <c r="G465" s="113" t="s">
        <v>1030</v>
      </c>
      <c r="H465" s="137" t="s">
        <v>1238</v>
      </c>
      <c r="I465" s="137" t="s">
        <v>1200</v>
      </c>
      <c r="J465" s="45">
        <v>2</v>
      </c>
    </row>
    <row r="466" spans="1:10" s="34" customFormat="1">
      <c r="A466" s="44">
        <v>168</v>
      </c>
      <c r="B466" s="113" t="s">
        <v>546</v>
      </c>
      <c r="C466" s="114">
        <v>3</v>
      </c>
      <c r="D466" s="113" t="s">
        <v>1561</v>
      </c>
      <c r="E466" s="108" t="s">
        <v>1274</v>
      </c>
      <c r="F466" s="49">
        <v>81</v>
      </c>
      <c r="G466" s="113" t="s">
        <v>975</v>
      </c>
      <c r="H466" s="137" t="s">
        <v>1238</v>
      </c>
      <c r="I466" s="137" t="s">
        <v>1200</v>
      </c>
      <c r="J466" s="45">
        <v>2</v>
      </c>
    </row>
    <row r="467" spans="1:10" s="34" customFormat="1">
      <c r="A467" s="44">
        <v>199</v>
      </c>
      <c r="B467" s="113" t="s">
        <v>546</v>
      </c>
      <c r="C467" s="114">
        <v>3</v>
      </c>
      <c r="D467" s="113" t="s">
        <v>1648</v>
      </c>
      <c r="E467" s="108" t="s">
        <v>1293</v>
      </c>
      <c r="F467" s="49">
        <v>81</v>
      </c>
      <c r="G467" s="113" t="s">
        <v>973</v>
      </c>
      <c r="H467" s="137" t="s">
        <v>1238</v>
      </c>
      <c r="I467" s="137" t="s">
        <v>1200</v>
      </c>
      <c r="J467" s="45">
        <v>2</v>
      </c>
    </row>
    <row r="468" spans="1:10" s="34" customFormat="1">
      <c r="A468" s="44">
        <v>218</v>
      </c>
      <c r="B468" s="113" t="s">
        <v>546</v>
      </c>
      <c r="C468" s="114">
        <v>3</v>
      </c>
      <c r="D468" s="113" t="s">
        <v>1651</v>
      </c>
      <c r="E468" s="108" t="s">
        <v>1305</v>
      </c>
      <c r="F468" s="49">
        <v>81</v>
      </c>
      <c r="G468" s="113" t="s">
        <v>590</v>
      </c>
      <c r="H468" s="137" t="s">
        <v>1238</v>
      </c>
      <c r="I468" s="137" t="s">
        <v>1200</v>
      </c>
      <c r="J468" s="45">
        <v>2</v>
      </c>
    </row>
    <row r="469" spans="1:10" s="34" customFormat="1">
      <c r="A469" s="44">
        <v>49</v>
      </c>
      <c r="B469" s="113" t="s">
        <v>546</v>
      </c>
      <c r="C469" s="114">
        <v>4</v>
      </c>
      <c r="D469" s="113" t="s">
        <v>1625</v>
      </c>
      <c r="E469" s="108" t="s">
        <v>1200</v>
      </c>
      <c r="F469" s="49">
        <v>81</v>
      </c>
      <c r="G469" s="113" t="s">
        <v>605</v>
      </c>
      <c r="H469" s="137" t="s">
        <v>1238</v>
      </c>
      <c r="I469" s="137" t="s">
        <v>1200</v>
      </c>
      <c r="J469" s="45">
        <v>2</v>
      </c>
    </row>
    <row r="470" spans="1:10" s="34" customFormat="1">
      <c r="A470" s="44">
        <v>125</v>
      </c>
      <c r="B470" s="113" t="s">
        <v>546</v>
      </c>
      <c r="C470" s="114">
        <v>4</v>
      </c>
      <c r="D470" s="113" t="s">
        <v>1553</v>
      </c>
      <c r="E470" s="108" t="s">
        <v>1251</v>
      </c>
      <c r="F470" s="49">
        <v>81</v>
      </c>
      <c r="G470" s="113" t="s">
        <v>980</v>
      </c>
      <c r="H470" s="137" t="s">
        <v>1238</v>
      </c>
      <c r="I470" s="137" t="s">
        <v>1200</v>
      </c>
      <c r="J470" s="45">
        <v>2</v>
      </c>
    </row>
    <row r="471" spans="1:10" s="34" customFormat="1">
      <c r="A471" s="44">
        <v>241</v>
      </c>
      <c r="B471" s="113" t="s">
        <v>546</v>
      </c>
      <c r="C471" s="114">
        <v>4</v>
      </c>
      <c r="D471" s="113" t="s">
        <v>1658</v>
      </c>
      <c r="E471" s="108" t="s">
        <v>1321</v>
      </c>
      <c r="F471" s="49">
        <v>81</v>
      </c>
      <c r="G471" s="113" t="s">
        <v>594</v>
      </c>
      <c r="H471" s="137" t="s">
        <v>1238</v>
      </c>
      <c r="I471" s="137" t="s">
        <v>1200</v>
      </c>
      <c r="J471" s="45">
        <v>2</v>
      </c>
    </row>
    <row r="472" spans="1:10" s="34" customFormat="1">
      <c r="A472" s="44">
        <v>183</v>
      </c>
      <c r="B472" s="113" t="s">
        <v>546</v>
      </c>
      <c r="C472" s="114">
        <v>5</v>
      </c>
      <c r="D472" s="113" t="s">
        <v>1644</v>
      </c>
      <c r="E472" s="108" t="s">
        <v>1284</v>
      </c>
      <c r="F472" s="49">
        <v>81</v>
      </c>
      <c r="G472" s="113" t="s">
        <v>587</v>
      </c>
      <c r="H472" s="137" t="s">
        <v>1238</v>
      </c>
      <c r="I472" s="137" t="s">
        <v>1200</v>
      </c>
      <c r="J472" s="45">
        <v>2</v>
      </c>
    </row>
    <row r="473" spans="1:10" s="34" customFormat="1">
      <c r="A473" s="138">
        <v>31</v>
      </c>
      <c r="B473" s="139" t="s">
        <v>1593</v>
      </c>
      <c r="C473" s="140">
        <v>3</v>
      </c>
      <c r="D473" s="139" t="s">
        <v>1622</v>
      </c>
      <c r="E473" s="141" t="s">
        <v>1185</v>
      </c>
      <c r="F473" s="143">
        <v>82</v>
      </c>
      <c r="G473" s="139" t="s">
        <v>587</v>
      </c>
      <c r="H473" s="142" t="s">
        <v>1185</v>
      </c>
      <c r="I473" s="142" t="s">
        <v>1293</v>
      </c>
      <c r="J473" s="45">
        <v>1</v>
      </c>
    </row>
    <row r="474" spans="1:10" s="34" customFormat="1">
      <c r="A474" s="138">
        <v>71</v>
      </c>
      <c r="B474" s="139" t="s">
        <v>1593</v>
      </c>
      <c r="C474" s="140">
        <v>4</v>
      </c>
      <c r="D474" s="139" t="s">
        <v>1631</v>
      </c>
      <c r="E474" s="141" t="s">
        <v>1214</v>
      </c>
      <c r="F474" s="143">
        <v>82</v>
      </c>
      <c r="G474" s="139" t="s">
        <v>1034</v>
      </c>
      <c r="H474" s="142" t="s">
        <v>1185</v>
      </c>
      <c r="I474" s="142" t="s">
        <v>1293</v>
      </c>
      <c r="J474" s="45">
        <v>1</v>
      </c>
    </row>
    <row r="475" spans="1:10" s="34" customFormat="1">
      <c r="A475" s="44">
        <v>17</v>
      </c>
      <c r="B475" s="113" t="s">
        <v>548</v>
      </c>
      <c r="C475" s="114">
        <v>2</v>
      </c>
      <c r="D475" s="113" t="s">
        <v>1621</v>
      </c>
      <c r="E475" s="108" t="s">
        <v>1179</v>
      </c>
      <c r="F475" s="49">
        <v>83</v>
      </c>
      <c r="G475" s="113" t="s">
        <v>984</v>
      </c>
      <c r="H475" s="137" t="s">
        <v>1318</v>
      </c>
      <c r="I475" s="137" t="s">
        <v>1228</v>
      </c>
      <c r="J475" s="45">
        <v>2</v>
      </c>
    </row>
    <row r="476" spans="1:10" s="34" customFormat="1">
      <c r="A476" s="44">
        <v>125</v>
      </c>
      <c r="B476" s="113" t="s">
        <v>548</v>
      </c>
      <c r="C476" s="114">
        <v>2</v>
      </c>
      <c r="D476" s="113" t="s">
        <v>1553</v>
      </c>
      <c r="E476" s="108" t="s">
        <v>1251</v>
      </c>
      <c r="F476" s="49">
        <v>83</v>
      </c>
      <c r="G476" s="113" t="s">
        <v>980</v>
      </c>
      <c r="H476" s="137" t="s">
        <v>1318</v>
      </c>
      <c r="I476" s="137" t="s">
        <v>1228</v>
      </c>
      <c r="J476" s="45">
        <v>2</v>
      </c>
    </row>
    <row r="477" spans="1:10" s="34" customFormat="1">
      <c r="A477" s="138">
        <v>5</v>
      </c>
      <c r="B477" s="153" t="s">
        <v>1574</v>
      </c>
      <c r="C477" s="192">
        <v>1</v>
      </c>
      <c r="D477" s="153" t="s">
        <v>1619</v>
      </c>
      <c r="E477" s="193" t="s">
        <v>1174</v>
      </c>
      <c r="F477" s="194">
        <v>84</v>
      </c>
      <c r="G477" s="153" t="s">
        <v>993</v>
      </c>
      <c r="H477" s="195" t="s">
        <v>1174</v>
      </c>
      <c r="I477" s="195" t="s">
        <v>1291</v>
      </c>
      <c r="J477" s="45">
        <v>1</v>
      </c>
    </row>
    <row r="478" spans="1:10" s="34" customFormat="1">
      <c r="A478" s="138">
        <v>133</v>
      </c>
      <c r="B478" s="153" t="s">
        <v>1574</v>
      </c>
      <c r="C478" s="192">
        <v>1</v>
      </c>
      <c r="D478" s="153" t="s">
        <v>1553</v>
      </c>
      <c r="E478" s="193" t="s">
        <v>1255</v>
      </c>
      <c r="F478" s="194">
        <v>84</v>
      </c>
      <c r="G478" s="153" t="s">
        <v>1020</v>
      </c>
      <c r="H478" s="195" t="s">
        <v>1174</v>
      </c>
      <c r="I478" s="195" t="s">
        <v>1291</v>
      </c>
      <c r="J478" s="45">
        <v>1</v>
      </c>
    </row>
    <row r="479" spans="1:10" s="34" customFormat="1">
      <c r="A479" s="138">
        <v>145</v>
      </c>
      <c r="B479" s="153" t="s">
        <v>1574</v>
      </c>
      <c r="C479" s="192">
        <v>1</v>
      </c>
      <c r="D479" s="153" t="s">
        <v>1553</v>
      </c>
      <c r="E479" s="193" t="s">
        <v>1261</v>
      </c>
      <c r="F479" s="194">
        <v>84</v>
      </c>
      <c r="G479" s="153" t="s">
        <v>601</v>
      </c>
      <c r="H479" s="195" t="s">
        <v>1174</v>
      </c>
      <c r="I479" s="195" t="s">
        <v>1291</v>
      </c>
      <c r="J479" s="45">
        <v>1</v>
      </c>
    </row>
    <row r="480" spans="1:10" s="34" customFormat="1">
      <c r="A480" s="138">
        <v>168</v>
      </c>
      <c r="B480" s="153" t="s">
        <v>1574</v>
      </c>
      <c r="C480" s="192">
        <v>1</v>
      </c>
      <c r="D480" s="153" t="s">
        <v>1561</v>
      </c>
      <c r="E480" s="193" t="s">
        <v>1274</v>
      </c>
      <c r="F480" s="194">
        <v>84</v>
      </c>
      <c r="G480" s="153" t="s">
        <v>975</v>
      </c>
      <c r="H480" s="195" t="s">
        <v>1174</v>
      </c>
      <c r="I480" s="195" t="s">
        <v>1291</v>
      </c>
      <c r="J480" s="45">
        <v>1</v>
      </c>
    </row>
    <row r="481" spans="1:10" s="34" customFormat="1">
      <c r="A481" s="138">
        <v>192</v>
      </c>
      <c r="B481" s="139" t="s">
        <v>1574</v>
      </c>
      <c r="C481" s="140">
        <v>2</v>
      </c>
      <c r="D481" s="139" t="s">
        <v>1646</v>
      </c>
      <c r="E481" s="141" t="s">
        <v>1287</v>
      </c>
      <c r="F481" s="143">
        <v>84</v>
      </c>
      <c r="G481" s="139" t="s">
        <v>995</v>
      </c>
      <c r="H481" s="142" t="s">
        <v>1174</v>
      </c>
      <c r="I481" s="142" t="s">
        <v>1291</v>
      </c>
      <c r="J481" s="45">
        <v>1</v>
      </c>
    </row>
    <row r="482" spans="1:10" s="34" customFormat="1">
      <c r="A482" s="138">
        <v>199</v>
      </c>
      <c r="B482" s="139" t="s">
        <v>1574</v>
      </c>
      <c r="C482" s="140">
        <v>2</v>
      </c>
      <c r="D482" s="139" t="s">
        <v>1648</v>
      </c>
      <c r="E482" s="141" t="s">
        <v>1293</v>
      </c>
      <c r="F482" s="143">
        <v>84</v>
      </c>
      <c r="G482" s="139" t="s">
        <v>973</v>
      </c>
      <c r="H482" s="142" t="s">
        <v>1174</v>
      </c>
      <c r="I482" s="142" t="s">
        <v>1291</v>
      </c>
      <c r="J482" s="45">
        <v>1</v>
      </c>
    </row>
    <row r="483" spans="1:10" s="34" customFormat="1">
      <c r="A483" s="138">
        <v>206</v>
      </c>
      <c r="B483" s="139" t="s">
        <v>1574</v>
      </c>
      <c r="C483" s="140">
        <v>3</v>
      </c>
      <c r="D483" s="139" t="s">
        <v>1649</v>
      </c>
      <c r="E483" s="141" t="s">
        <v>1295</v>
      </c>
      <c r="F483" s="143">
        <v>84</v>
      </c>
      <c r="G483" s="139" t="s">
        <v>596</v>
      </c>
      <c r="H483" s="142" t="s">
        <v>1174</v>
      </c>
      <c r="I483" s="142" t="s">
        <v>1291</v>
      </c>
      <c r="J483" s="45">
        <v>1</v>
      </c>
    </row>
    <row r="484" spans="1:10" s="34" customFormat="1">
      <c r="A484" s="138">
        <v>135</v>
      </c>
      <c r="B484" s="139" t="s">
        <v>1574</v>
      </c>
      <c r="C484" s="140">
        <v>4</v>
      </c>
      <c r="D484" s="139" t="s">
        <v>1553</v>
      </c>
      <c r="E484" s="141" t="s">
        <v>1256</v>
      </c>
      <c r="F484" s="143">
        <v>84</v>
      </c>
      <c r="G484" s="139" t="s">
        <v>597</v>
      </c>
      <c r="H484" s="142" t="s">
        <v>1174</v>
      </c>
      <c r="I484" s="142" t="s">
        <v>1291</v>
      </c>
      <c r="J484" s="45">
        <v>1</v>
      </c>
    </row>
    <row r="485" spans="1:10" s="34" customFormat="1">
      <c r="A485" s="138">
        <v>257</v>
      </c>
      <c r="B485" s="139" t="s">
        <v>1574</v>
      </c>
      <c r="C485" s="140">
        <v>4</v>
      </c>
      <c r="D485" s="139" t="s">
        <v>1663</v>
      </c>
      <c r="E485" s="141" t="s">
        <v>1330</v>
      </c>
      <c r="F485" s="143">
        <v>84</v>
      </c>
      <c r="G485" s="139" t="s">
        <v>602</v>
      </c>
      <c r="H485" s="142" t="s">
        <v>1174</v>
      </c>
      <c r="I485" s="142" t="s">
        <v>1291</v>
      </c>
      <c r="J485" s="45">
        <v>1</v>
      </c>
    </row>
    <row r="486" spans="1:10" s="34" customFormat="1">
      <c r="A486" s="138">
        <v>233</v>
      </c>
      <c r="B486" s="139" t="s">
        <v>1574</v>
      </c>
      <c r="C486" s="140">
        <v>5</v>
      </c>
      <c r="D486" s="139" t="s">
        <v>1654</v>
      </c>
      <c r="E486" s="141" t="s">
        <v>1313</v>
      </c>
      <c r="F486" s="143">
        <v>84</v>
      </c>
      <c r="G486" s="139" t="s">
        <v>975</v>
      </c>
      <c r="H486" s="142" t="s">
        <v>1174</v>
      </c>
      <c r="I486" s="142" t="s">
        <v>1291</v>
      </c>
      <c r="J486" s="45">
        <v>1</v>
      </c>
    </row>
    <row r="487" spans="1:10">
      <c r="A487" s="44">
        <v>67</v>
      </c>
      <c r="B487" s="152" t="s">
        <v>1578</v>
      </c>
      <c r="C487" s="186">
        <v>1</v>
      </c>
      <c r="D487" s="152" t="s">
        <v>1555</v>
      </c>
      <c r="E487" s="155" t="s">
        <v>1210</v>
      </c>
      <c r="F487" s="187">
        <v>85</v>
      </c>
      <c r="G487" s="152" t="s">
        <v>986</v>
      </c>
      <c r="H487" s="137" t="s">
        <v>1293</v>
      </c>
      <c r="I487" s="137" t="s">
        <v>1274</v>
      </c>
      <c r="J487" s="45">
        <v>2</v>
      </c>
    </row>
    <row r="488" spans="1:10">
      <c r="A488" s="44">
        <v>42</v>
      </c>
      <c r="B488" s="113" t="s">
        <v>1578</v>
      </c>
      <c r="C488" s="114">
        <v>2</v>
      </c>
      <c r="D488" s="113" t="s">
        <v>1564</v>
      </c>
      <c r="E488" s="108" t="s">
        <v>1194</v>
      </c>
      <c r="F488" s="49">
        <v>85</v>
      </c>
      <c r="G488" s="113" t="s">
        <v>600</v>
      </c>
      <c r="H488" s="137" t="s">
        <v>1293</v>
      </c>
      <c r="I488" s="137" t="s">
        <v>1274</v>
      </c>
      <c r="J488" s="45">
        <v>2</v>
      </c>
    </row>
    <row r="489" spans="1:10">
      <c r="A489" s="44">
        <v>133</v>
      </c>
      <c r="B489" s="113" t="s">
        <v>1578</v>
      </c>
      <c r="C489" s="114">
        <v>2</v>
      </c>
      <c r="D489" s="113" t="s">
        <v>1553</v>
      </c>
      <c r="E489" s="108" t="s">
        <v>1255</v>
      </c>
      <c r="F489" s="49">
        <v>85</v>
      </c>
      <c r="G489" s="113" t="s">
        <v>1020</v>
      </c>
      <c r="H489" s="137" t="s">
        <v>1293</v>
      </c>
      <c r="I489" s="137" t="s">
        <v>1274</v>
      </c>
      <c r="J489" s="45">
        <v>2</v>
      </c>
    </row>
    <row r="490" spans="1:10">
      <c r="A490" s="44">
        <v>164</v>
      </c>
      <c r="B490" s="113" t="s">
        <v>1578</v>
      </c>
      <c r="C490" s="114">
        <v>2</v>
      </c>
      <c r="D490" s="113" t="s">
        <v>1561</v>
      </c>
      <c r="E490" s="108" t="s">
        <v>1271</v>
      </c>
      <c r="F490" s="49">
        <v>85</v>
      </c>
      <c r="G490" s="113" t="s">
        <v>968</v>
      </c>
      <c r="H490" s="137" t="s">
        <v>1293</v>
      </c>
      <c r="I490" s="137" t="s">
        <v>1274</v>
      </c>
      <c r="J490" s="45">
        <v>2</v>
      </c>
    </row>
    <row r="491" spans="1:10">
      <c r="A491" s="44">
        <v>168</v>
      </c>
      <c r="B491" s="113" t="s">
        <v>1578</v>
      </c>
      <c r="C491" s="114">
        <v>2</v>
      </c>
      <c r="D491" s="113" t="s">
        <v>1561</v>
      </c>
      <c r="E491" s="108" t="s">
        <v>1274</v>
      </c>
      <c r="F491" s="49">
        <v>85</v>
      </c>
      <c r="G491" s="113" t="s">
        <v>975</v>
      </c>
      <c r="H491" s="137" t="s">
        <v>1293</v>
      </c>
      <c r="I491" s="137" t="s">
        <v>1274</v>
      </c>
      <c r="J491" s="45">
        <v>2</v>
      </c>
    </row>
    <row r="492" spans="1:10">
      <c r="A492" s="44">
        <v>17</v>
      </c>
      <c r="B492" s="113" t="s">
        <v>1578</v>
      </c>
      <c r="C492" s="114">
        <v>3</v>
      </c>
      <c r="D492" s="113" t="s">
        <v>1621</v>
      </c>
      <c r="E492" s="108" t="s">
        <v>1179</v>
      </c>
      <c r="F492" s="49">
        <v>85</v>
      </c>
      <c r="G492" s="113" t="s">
        <v>984</v>
      </c>
      <c r="H492" s="137" t="s">
        <v>1293</v>
      </c>
      <c r="I492" s="137" t="s">
        <v>1274</v>
      </c>
      <c r="J492" s="45">
        <v>2</v>
      </c>
    </row>
    <row r="493" spans="1:10">
      <c r="A493" s="44">
        <v>248</v>
      </c>
      <c r="B493" s="113" t="s">
        <v>1578</v>
      </c>
      <c r="C493" s="114">
        <v>3</v>
      </c>
      <c r="D493" s="113" t="s">
        <v>1660</v>
      </c>
      <c r="E493" s="108" t="s">
        <v>1325</v>
      </c>
      <c r="F493" s="49">
        <v>85</v>
      </c>
      <c r="G493" s="113" t="s">
        <v>975</v>
      </c>
      <c r="H493" s="137" t="s">
        <v>1293</v>
      </c>
      <c r="I493" s="137" t="s">
        <v>1274</v>
      </c>
      <c r="J493" s="45">
        <v>2</v>
      </c>
    </row>
    <row r="494" spans="1:10">
      <c r="A494" s="44">
        <v>12</v>
      </c>
      <c r="B494" s="113" t="s">
        <v>1578</v>
      </c>
      <c r="C494" s="114">
        <v>4</v>
      </c>
      <c r="D494" s="113" t="s">
        <v>1620</v>
      </c>
      <c r="E494" s="108" t="s">
        <v>1176</v>
      </c>
      <c r="F494" s="49">
        <v>85</v>
      </c>
      <c r="G494" s="113" t="s">
        <v>587</v>
      </c>
      <c r="H494" s="137" t="s">
        <v>1293</v>
      </c>
      <c r="I494" s="137" t="s">
        <v>1274</v>
      </c>
      <c r="J494" s="45">
        <v>2</v>
      </c>
    </row>
    <row r="495" spans="1:10">
      <c r="A495" s="44">
        <v>84</v>
      </c>
      <c r="B495" s="113" t="s">
        <v>1578</v>
      </c>
      <c r="C495" s="114">
        <v>4</v>
      </c>
      <c r="D495" s="113" t="s">
        <v>1634</v>
      </c>
      <c r="E495" s="108" t="s">
        <v>1222</v>
      </c>
      <c r="F495" s="49">
        <v>85</v>
      </c>
      <c r="G495" s="113" t="s">
        <v>976</v>
      </c>
      <c r="H495" s="137" t="s">
        <v>1293</v>
      </c>
      <c r="I495" s="137" t="s">
        <v>1274</v>
      </c>
      <c r="J495" s="45">
        <v>2</v>
      </c>
    </row>
    <row r="496" spans="1:10">
      <c r="A496" s="44">
        <v>199</v>
      </c>
      <c r="B496" s="113" t="s">
        <v>1578</v>
      </c>
      <c r="C496" s="114">
        <v>4</v>
      </c>
      <c r="D496" s="113" t="s">
        <v>1648</v>
      </c>
      <c r="E496" s="108" t="s">
        <v>1293</v>
      </c>
      <c r="F496" s="49">
        <v>85</v>
      </c>
      <c r="G496" s="113" t="s">
        <v>973</v>
      </c>
      <c r="H496" s="137" t="s">
        <v>1293</v>
      </c>
      <c r="I496" s="137" t="s">
        <v>1274</v>
      </c>
      <c r="J496" s="45">
        <v>2</v>
      </c>
    </row>
    <row r="497" spans="1:10">
      <c r="A497" s="115">
        <v>290</v>
      </c>
      <c r="B497" s="116" t="s">
        <v>1578</v>
      </c>
      <c r="C497" s="117">
        <v>4</v>
      </c>
      <c r="D497" s="116" t="s">
        <v>1668</v>
      </c>
      <c r="E497" s="108" t="s">
        <v>1349</v>
      </c>
      <c r="F497" s="49">
        <v>85</v>
      </c>
      <c r="G497" s="116" t="s">
        <v>1019</v>
      </c>
      <c r="H497" s="137" t="s">
        <v>1293</v>
      </c>
      <c r="I497" s="137" t="s">
        <v>1274</v>
      </c>
      <c r="J497" s="45">
        <v>2</v>
      </c>
    </row>
    <row r="498" spans="1:10">
      <c r="A498" s="44">
        <v>137</v>
      </c>
      <c r="B498" s="113" t="s">
        <v>1578</v>
      </c>
      <c r="C498" s="114">
        <v>5</v>
      </c>
      <c r="D498" s="113" t="s">
        <v>1553</v>
      </c>
      <c r="E498" s="108" t="s">
        <v>1257</v>
      </c>
      <c r="F498" s="49">
        <v>85</v>
      </c>
      <c r="G498" s="113" t="s">
        <v>1030</v>
      </c>
      <c r="H498" s="137" t="s">
        <v>1293</v>
      </c>
      <c r="I498" s="137" t="s">
        <v>1274</v>
      </c>
      <c r="J498" s="45">
        <v>2</v>
      </c>
    </row>
    <row r="499" spans="1:10">
      <c r="A499" s="44">
        <v>145</v>
      </c>
      <c r="B499" s="113" t="s">
        <v>1578</v>
      </c>
      <c r="C499" s="114">
        <v>5</v>
      </c>
      <c r="D499" s="113" t="s">
        <v>1553</v>
      </c>
      <c r="E499" s="108" t="s">
        <v>1261</v>
      </c>
      <c r="F499" s="49">
        <v>85</v>
      </c>
      <c r="G499" s="113" t="s">
        <v>601</v>
      </c>
      <c r="H499" s="137" t="s">
        <v>1293</v>
      </c>
      <c r="I499" s="137" t="s">
        <v>1274</v>
      </c>
      <c r="J499" s="45">
        <v>2</v>
      </c>
    </row>
    <row r="500" spans="1:10">
      <c r="A500" s="138">
        <v>219</v>
      </c>
      <c r="B500" s="153" t="s">
        <v>1609</v>
      </c>
      <c r="C500" s="192">
        <v>1</v>
      </c>
      <c r="D500" s="153" t="s">
        <v>1651</v>
      </c>
      <c r="E500" s="193" t="s">
        <v>1306</v>
      </c>
      <c r="F500" s="194">
        <v>86</v>
      </c>
      <c r="G500" s="153" t="s">
        <v>587</v>
      </c>
      <c r="H500" s="195" t="s">
        <v>1235</v>
      </c>
      <c r="I500" s="195" t="s">
        <v>1218</v>
      </c>
      <c r="J500" s="45">
        <v>1</v>
      </c>
    </row>
    <row r="501" spans="1:10">
      <c r="A501" s="44">
        <v>193</v>
      </c>
      <c r="B501" s="152" t="s">
        <v>566</v>
      </c>
      <c r="C501" s="186">
        <v>1</v>
      </c>
      <c r="D501" s="152" t="s">
        <v>1647</v>
      </c>
      <c r="E501" s="155" t="s">
        <v>1288</v>
      </c>
      <c r="F501" s="187">
        <v>87</v>
      </c>
      <c r="G501" s="152" t="s">
        <v>1015</v>
      </c>
      <c r="H501" s="137" t="s">
        <v>1225</v>
      </c>
      <c r="I501" s="137" t="s">
        <v>1266</v>
      </c>
      <c r="J501" s="45">
        <v>2</v>
      </c>
    </row>
    <row r="502" spans="1:10">
      <c r="A502" s="44">
        <v>87</v>
      </c>
      <c r="B502" s="113" t="s">
        <v>566</v>
      </c>
      <c r="C502" s="114">
        <v>2</v>
      </c>
      <c r="D502" s="113" t="s">
        <v>1635</v>
      </c>
      <c r="E502" s="108" t="s">
        <v>1225</v>
      </c>
      <c r="F502" s="49">
        <v>87</v>
      </c>
      <c r="G502" s="113" t="s">
        <v>1000</v>
      </c>
      <c r="H502" s="137" t="s">
        <v>1225</v>
      </c>
      <c r="I502" s="137" t="s">
        <v>1266</v>
      </c>
      <c r="J502" s="45">
        <v>2</v>
      </c>
    </row>
    <row r="503" spans="1:10">
      <c r="A503" s="138">
        <v>85</v>
      </c>
      <c r="B503" s="139" t="s">
        <v>953</v>
      </c>
      <c r="C503" s="140">
        <v>2</v>
      </c>
      <c r="D503" s="139" t="s">
        <v>1558</v>
      </c>
      <c r="E503" s="141" t="s">
        <v>1223</v>
      </c>
      <c r="F503" s="143">
        <v>88</v>
      </c>
      <c r="G503" s="139" t="s">
        <v>589</v>
      </c>
      <c r="H503" s="142" t="s">
        <v>1276</v>
      </c>
      <c r="I503" s="142" t="s">
        <v>1266</v>
      </c>
      <c r="J503" s="45">
        <v>1</v>
      </c>
    </row>
    <row r="504" spans="1:10">
      <c r="A504" s="138">
        <v>229</v>
      </c>
      <c r="B504" s="139" t="s">
        <v>953</v>
      </c>
      <c r="C504" s="140">
        <v>3</v>
      </c>
      <c r="D504" s="139" t="s">
        <v>1653</v>
      </c>
      <c r="E504" s="141" t="s">
        <v>1310</v>
      </c>
      <c r="F504" s="143">
        <v>88</v>
      </c>
      <c r="G504" s="139" t="s">
        <v>989</v>
      </c>
      <c r="H504" s="142" t="s">
        <v>1276</v>
      </c>
      <c r="I504" s="142" t="s">
        <v>1266</v>
      </c>
      <c r="J504" s="45">
        <v>1</v>
      </c>
    </row>
    <row r="505" spans="1:10">
      <c r="A505" s="138">
        <v>17</v>
      </c>
      <c r="B505" s="139" t="s">
        <v>953</v>
      </c>
      <c r="C505" s="140">
        <v>4</v>
      </c>
      <c r="D505" s="139" t="s">
        <v>1621</v>
      </c>
      <c r="E505" s="141" t="s">
        <v>1179</v>
      </c>
      <c r="F505" s="143">
        <v>88</v>
      </c>
      <c r="G505" s="139" t="s">
        <v>984</v>
      </c>
      <c r="H505" s="142" t="s">
        <v>1276</v>
      </c>
      <c r="I505" s="142" t="s">
        <v>1266</v>
      </c>
      <c r="J505" s="45">
        <v>1</v>
      </c>
    </row>
    <row r="506" spans="1:10">
      <c r="A506" s="138">
        <v>70</v>
      </c>
      <c r="B506" s="139" t="s">
        <v>953</v>
      </c>
      <c r="C506" s="140">
        <v>4</v>
      </c>
      <c r="D506" s="139" t="s">
        <v>1555</v>
      </c>
      <c r="E506" s="141" t="s">
        <v>1213</v>
      </c>
      <c r="F506" s="143">
        <v>88</v>
      </c>
      <c r="G506" s="139" t="s">
        <v>587</v>
      </c>
      <c r="H506" s="142" t="s">
        <v>1276</v>
      </c>
      <c r="I506" s="142" t="s">
        <v>1266</v>
      </c>
      <c r="J506" s="45">
        <v>1</v>
      </c>
    </row>
    <row r="507" spans="1:10">
      <c r="A507" s="138">
        <v>211</v>
      </c>
      <c r="B507" s="139" t="s">
        <v>953</v>
      </c>
      <c r="C507" s="140">
        <v>4</v>
      </c>
      <c r="D507" s="139" t="s">
        <v>1649</v>
      </c>
      <c r="E507" s="141" t="s">
        <v>1300</v>
      </c>
      <c r="F507" s="143">
        <v>88</v>
      </c>
      <c r="G507" s="139" t="s">
        <v>587</v>
      </c>
      <c r="H507" s="142" t="s">
        <v>1276</v>
      </c>
      <c r="I507" s="142" t="s">
        <v>1266</v>
      </c>
      <c r="J507" s="45">
        <v>1</v>
      </c>
    </row>
    <row r="508" spans="1:10">
      <c r="A508" s="138">
        <v>218</v>
      </c>
      <c r="B508" s="139" t="s">
        <v>953</v>
      </c>
      <c r="C508" s="140">
        <v>4</v>
      </c>
      <c r="D508" s="139" t="s">
        <v>1651</v>
      </c>
      <c r="E508" s="141" t="s">
        <v>1305</v>
      </c>
      <c r="F508" s="143">
        <v>88</v>
      </c>
      <c r="G508" s="139" t="s">
        <v>590</v>
      </c>
      <c r="H508" s="142" t="s">
        <v>1276</v>
      </c>
      <c r="I508" s="142" t="s">
        <v>1266</v>
      </c>
      <c r="J508" s="45">
        <v>1</v>
      </c>
    </row>
    <row r="509" spans="1:10">
      <c r="A509" s="138">
        <v>46</v>
      </c>
      <c r="B509" s="139" t="s">
        <v>953</v>
      </c>
      <c r="C509" s="140">
        <v>5</v>
      </c>
      <c r="D509" s="139" t="s">
        <v>1624</v>
      </c>
      <c r="E509" s="141" t="s">
        <v>1198</v>
      </c>
      <c r="F509" s="143">
        <v>88</v>
      </c>
      <c r="G509" s="139" t="s">
        <v>596</v>
      </c>
      <c r="H509" s="142" t="s">
        <v>1276</v>
      </c>
      <c r="I509" s="142" t="s">
        <v>1266</v>
      </c>
      <c r="J509" s="45">
        <v>1</v>
      </c>
    </row>
    <row r="510" spans="1:10">
      <c r="A510" s="44">
        <v>16</v>
      </c>
      <c r="B510" s="152" t="s">
        <v>1583</v>
      </c>
      <c r="C510" s="186">
        <v>1</v>
      </c>
      <c r="D510" s="152" t="s">
        <v>1621</v>
      </c>
      <c r="E510" s="155" t="s">
        <v>1178</v>
      </c>
      <c r="F510" s="187">
        <v>89</v>
      </c>
      <c r="G510" s="152" t="s">
        <v>1014</v>
      </c>
      <c r="H510" s="137" t="s">
        <v>1299</v>
      </c>
      <c r="I510" s="137" t="s">
        <v>1345</v>
      </c>
      <c r="J510" s="45">
        <v>2</v>
      </c>
    </row>
    <row r="511" spans="1:10">
      <c r="A511" s="44">
        <v>66</v>
      </c>
      <c r="B511" s="152" t="s">
        <v>1583</v>
      </c>
      <c r="C511" s="186">
        <v>1</v>
      </c>
      <c r="D511" s="152" t="s">
        <v>1555</v>
      </c>
      <c r="E511" s="155" t="s">
        <v>1209</v>
      </c>
      <c r="F511" s="187">
        <v>89</v>
      </c>
      <c r="G511" s="152" t="s">
        <v>587</v>
      </c>
      <c r="H511" s="137" t="s">
        <v>1299</v>
      </c>
      <c r="I511" s="137" t="s">
        <v>1345</v>
      </c>
      <c r="J511" s="45">
        <v>2</v>
      </c>
    </row>
    <row r="512" spans="1:10">
      <c r="A512" s="44">
        <v>210</v>
      </c>
      <c r="B512" s="152" t="s">
        <v>1583</v>
      </c>
      <c r="C512" s="186">
        <v>1</v>
      </c>
      <c r="D512" s="152" t="s">
        <v>1649</v>
      </c>
      <c r="E512" s="155" t="s">
        <v>1299</v>
      </c>
      <c r="F512" s="187">
        <v>89</v>
      </c>
      <c r="G512" s="152" t="s">
        <v>587</v>
      </c>
      <c r="H512" s="137" t="s">
        <v>1299</v>
      </c>
      <c r="I512" s="137" t="s">
        <v>1345</v>
      </c>
      <c r="J512" s="45">
        <v>2</v>
      </c>
    </row>
    <row r="513" spans="1:10">
      <c r="A513" s="138">
        <v>230</v>
      </c>
      <c r="B513" s="153" t="s">
        <v>937</v>
      </c>
      <c r="C513" s="192">
        <v>1</v>
      </c>
      <c r="D513" s="153" t="s">
        <v>1653</v>
      </c>
      <c r="E513" s="193" t="s">
        <v>1311</v>
      </c>
      <c r="F513" s="194">
        <v>90</v>
      </c>
      <c r="G513" s="153" t="s">
        <v>990</v>
      </c>
      <c r="H513" s="195" t="s">
        <v>1311</v>
      </c>
      <c r="I513" s="195" t="s">
        <v>1187</v>
      </c>
      <c r="J513" s="45">
        <v>1</v>
      </c>
    </row>
    <row r="514" spans="1:10">
      <c r="A514" s="138">
        <v>33</v>
      </c>
      <c r="B514" s="139" t="s">
        <v>937</v>
      </c>
      <c r="C514" s="140">
        <v>2</v>
      </c>
      <c r="D514" s="139" t="s">
        <v>1567</v>
      </c>
      <c r="E514" s="141" t="s">
        <v>1187</v>
      </c>
      <c r="F514" s="143">
        <v>90</v>
      </c>
      <c r="G514" s="139" t="s">
        <v>981</v>
      </c>
      <c r="H514" s="142" t="s">
        <v>1311</v>
      </c>
      <c r="I514" s="142" t="s">
        <v>1187</v>
      </c>
      <c r="J514" s="45">
        <v>1</v>
      </c>
    </row>
    <row r="515" spans="1:10">
      <c r="A515" s="143">
        <v>291</v>
      </c>
      <c r="B515" s="141" t="s">
        <v>937</v>
      </c>
      <c r="C515" s="143">
        <v>4</v>
      </c>
      <c r="D515" s="141" t="s">
        <v>1562</v>
      </c>
      <c r="E515" s="141" t="s">
        <v>1350</v>
      </c>
      <c r="F515" s="143">
        <v>90</v>
      </c>
      <c r="G515" s="144" t="s">
        <v>1008</v>
      </c>
      <c r="H515" s="142" t="s">
        <v>1311</v>
      </c>
      <c r="I515" s="142" t="s">
        <v>1187</v>
      </c>
      <c r="J515" s="45">
        <v>1</v>
      </c>
    </row>
    <row r="516" spans="1:10">
      <c r="A516" s="44">
        <v>76</v>
      </c>
      <c r="B516" s="152" t="s">
        <v>531</v>
      </c>
      <c r="C516" s="186">
        <v>1</v>
      </c>
      <c r="D516" s="152" t="s">
        <v>1633</v>
      </c>
      <c r="E516" s="155" t="s">
        <v>1216</v>
      </c>
      <c r="F516" s="187">
        <v>92</v>
      </c>
      <c r="G516" s="152" t="s">
        <v>1005</v>
      </c>
      <c r="H516" s="137" t="s">
        <v>1303</v>
      </c>
      <c r="I516" s="137" t="s">
        <v>1276</v>
      </c>
      <c r="J516" s="45">
        <v>2</v>
      </c>
    </row>
    <row r="517" spans="1:10">
      <c r="A517" s="44">
        <v>172</v>
      </c>
      <c r="B517" s="152" t="s">
        <v>531</v>
      </c>
      <c r="C517" s="186">
        <v>1</v>
      </c>
      <c r="D517" s="152" t="s">
        <v>1641</v>
      </c>
      <c r="E517" s="155" t="s">
        <v>1276</v>
      </c>
      <c r="F517" s="187">
        <v>92</v>
      </c>
      <c r="G517" s="152" t="s">
        <v>969</v>
      </c>
      <c r="H517" s="137" t="s">
        <v>1303</v>
      </c>
      <c r="I517" s="137" t="s">
        <v>1276</v>
      </c>
      <c r="J517" s="45">
        <v>2</v>
      </c>
    </row>
    <row r="518" spans="1:10">
      <c r="A518" s="44">
        <v>177</v>
      </c>
      <c r="B518" s="152" t="s">
        <v>531</v>
      </c>
      <c r="C518" s="186">
        <v>1</v>
      </c>
      <c r="D518" s="152" t="s">
        <v>1642</v>
      </c>
      <c r="E518" s="155" t="s">
        <v>1279</v>
      </c>
      <c r="F518" s="187">
        <v>92</v>
      </c>
      <c r="G518" s="152" t="s">
        <v>997</v>
      </c>
      <c r="H518" s="137" t="s">
        <v>1303</v>
      </c>
      <c r="I518" s="137" t="s">
        <v>1276</v>
      </c>
      <c r="J518" s="45">
        <v>2</v>
      </c>
    </row>
    <row r="519" spans="1:10">
      <c r="A519" s="44">
        <v>214</v>
      </c>
      <c r="B519" s="152" t="s">
        <v>531</v>
      </c>
      <c r="C519" s="186">
        <v>1</v>
      </c>
      <c r="D519" s="152" t="s">
        <v>1650</v>
      </c>
      <c r="E519" s="155" t="s">
        <v>1303</v>
      </c>
      <c r="F519" s="187">
        <v>92</v>
      </c>
      <c r="G519" s="152" t="s">
        <v>587</v>
      </c>
      <c r="H519" s="137" t="s">
        <v>1303</v>
      </c>
      <c r="I519" s="137" t="s">
        <v>1276</v>
      </c>
      <c r="J519" s="45">
        <v>2</v>
      </c>
    </row>
    <row r="520" spans="1:10">
      <c r="A520" s="44">
        <v>17</v>
      </c>
      <c r="B520" s="113" t="s">
        <v>531</v>
      </c>
      <c r="C520" s="114">
        <v>5</v>
      </c>
      <c r="D520" s="113" t="s">
        <v>1621</v>
      </c>
      <c r="E520" s="108" t="s">
        <v>1179</v>
      </c>
      <c r="F520" s="49">
        <v>92</v>
      </c>
      <c r="G520" s="113" t="s">
        <v>984</v>
      </c>
      <c r="H520" s="137" t="s">
        <v>1303</v>
      </c>
      <c r="I520" s="137" t="s">
        <v>1276</v>
      </c>
      <c r="J520" s="45">
        <v>2</v>
      </c>
    </row>
    <row r="521" spans="1:10">
      <c r="A521" s="44">
        <v>187</v>
      </c>
      <c r="B521" s="113" t="s">
        <v>531</v>
      </c>
      <c r="C521" s="114">
        <v>5</v>
      </c>
      <c r="D521" s="113" t="s">
        <v>1645</v>
      </c>
      <c r="E521" s="108" t="s">
        <v>1429</v>
      </c>
      <c r="F521" s="49">
        <v>92</v>
      </c>
      <c r="G521" s="113" t="s">
        <v>587</v>
      </c>
      <c r="H521" s="137" t="s">
        <v>1303</v>
      </c>
      <c r="I521" s="137" t="s">
        <v>1276</v>
      </c>
      <c r="J521" s="45">
        <v>2</v>
      </c>
    </row>
    <row r="522" spans="1:10">
      <c r="A522" s="138">
        <v>248</v>
      </c>
      <c r="B522" s="139" t="s">
        <v>942</v>
      </c>
      <c r="C522" s="140">
        <v>4</v>
      </c>
      <c r="D522" s="139" t="s">
        <v>1660</v>
      </c>
      <c r="E522" s="141" t="s">
        <v>1325</v>
      </c>
      <c r="F522" s="143">
        <v>93</v>
      </c>
      <c r="G522" s="139" t="s">
        <v>975</v>
      </c>
      <c r="H522" s="142" t="s">
        <v>1308</v>
      </c>
      <c r="I522" s="142" t="s">
        <v>1253</v>
      </c>
      <c r="J522" s="45">
        <v>1</v>
      </c>
    </row>
    <row r="523" spans="1:10">
      <c r="A523" s="138">
        <v>211</v>
      </c>
      <c r="B523" s="139" t="s">
        <v>942</v>
      </c>
      <c r="C523" s="140">
        <v>5</v>
      </c>
      <c r="D523" s="139" t="s">
        <v>1649</v>
      </c>
      <c r="E523" s="141" t="s">
        <v>1300</v>
      </c>
      <c r="F523" s="143">
        <v>93</v>
      </c>
      <c r="G523" s="139" t="s">
        <v>587</v>
      </c>
      <c r="H523" s="142" t="s">
        <v>1308</v>
      </c>
      <c r="I523" s="142" t="s">
        <v>1253</v>
      </c>
      <c r="J523" s="45">
        <v>1</v>
      </c>
    </row>
    <row r="524" spans="1:10">
      <c r="A524" s="49">
        <v>292</v>
      </c>
      <c r="B524" s="108" t="s">
        <v>941</v>
      </c>
      <c r="C524" s="49">
        <v>4</v>
      </c>
      <c r="D524" s="108" t="s">
        <v>962</v>
      </c>
      <c r="E524" s="108" t="s">
        <v>1433</v>
      </c>
      <c r="F524" s="49">
        <v>94</v>
      </c>
      <c r="G524" s="10" t="s">
        <v>1414</v>
      </c>
      <c r="H524" s="137" t="s">
        <v>1308</v>
      </c>
      <c r="I524" s="137" t="s">
        <v>1339</v>
      </c>
      <c r="J524" s="45">
        <v>2</v>
      </c>
    </row>
    <row r="525" spans="1:10">
      <c r="A525" s="138">
        <v>187</v>
      </c>
      <c r="B525" s="139" t="s">
        <v>1611</v>
      </c>
      <c r="C525" s="140">
        <v>4</v>
      </c>
      <c r="D525" s="139" t="s">
        <v>1645</v>
      </c>
      <c r="E525" s="141" t="s">
        <v>1429</v>
      </c>
      <c r="F525" s="143">
        <v>95</v>
      </c>
      <c r="G525" s="139" t="s">
        <v>587</v>
      </c>
      <c r="H525" s="142" t="s">
        <v>1258</v>
      </c>
      <c r="I525" s="142" t="s">
        <v>1341</v>
      </c>
      <c r="J525" s="45">
        <v>1</v>
      </c>
    </row>
    <row r="526" spans="1:10">
      <c r="A526" s="44">
        <v>44</v>
      </c>
      <c r="B526" s="152" t="s">
        <v>938</v>
      </c>
      <c r="C526" s="186">
        <v>1</v>
      </c>
      <c r="D526" s="152" t="s">
        <v>1624</v>
      </c>
      <c r="E526" s="155" t="s">
        <v>1196</v>
      </c>
      <c r="F526" s="187">
        <v>96</v>
      </c>
      <c r="G526" s="152" t="s">
        <v>982</v>
      </c>
      <c r="H526" s="137" t="s">
        <v>1303</v>
      </c>
      <c r="I526" s="137" t="s">
        <v>1321</v>
      </c>
      <c r="J526" s="45">
        <v>2</v>
      </c>
    </row>
    <row r="527" spans="1:10">
      <c r="A527" s="44">
        <v>146</v>
      </c>
      <c r="B527" s="152" t="s">
        <v>938</v>
      </c>
      <c r="C527" s="186">
        <v>1</v>
      </c>
      <c r="D527" s="152" t="s">
        <v>1553</v>
      </c>
      <c r="E527" s="155" t="s">
        <v>1262</v>
      </c>
      <c r="F527" s="187">
        <v>96</v>
      </c>
      <c r="G527" s="152" t="s">
        <v>1016</v>
      </c>
      <c r="H527" s="137" t="s">
        <v>1303</v>
      </c>
      <c r="I527" s="137" t="s">
        <v>1321</v>
      </c>
      <c r="J527" s="45">
        <v>2</v>
      </c>
    </row>
    <row r="528" spans="1:10">
      <c r="A528" s="115">
        <v>285</v>
      </c>
      <c r="B528" s="116" t="s">
        <v>938</v>
      </c>
      <c r="C528" s="117">
        <v>2</v>
      </c>
      <c r="D528" s="116" t="s">
        <v>1667</v>
      </c>
      <c r="E528" s="108" t="s">
        <v>1346</v>
      </c>
      <c r="F528" s="49">
        <v>96</v>
      </c>
      <c r="G528" s="116" t="s">
        <v>967</v>
      </c>
      <c r="H528" s="137" t="s">
        <v>1303</v>
      </c>
      <c r="I528" s="137" t="s">
        <v>1321</v>
      </c>
      <c r="J528" s="45">
        <v>2</v>
      </c>
    </row>
    <row r="529" spans="1:10">
      <c r="A529" s="44">
        <v>208</v>
      </c>
      <c r="B529" s="113" t="s">
        <v>938</v>
      </c>
      <c r="C529" s="114">
        <v>3</v>
      </c>
      <c r="D529" s="113" t="s">
        <v>1649</v>
      </c>
      <c r="E529" s="108" t="s">
        <v>1297</v>
      </c>
      <c r="F529" s="49">
        <v>96</v>
      </c>
      <c r="G529" s="113" t="s">
        <v>975</v>
      </c>
      <c r="H529" s="137" t="s">
        <v>1303</v>
      </c>
      <c r="I529" s="137" t="s">
        <v>1321</v>
      </c>
      <c r="J529" s="45">
        <v>2</v>
      </c>
    </row>
    <row r="530" spans="1:10">
      <c r="A530" s="44">
        <v>70</v>
      </c>
      <c r="B530" s="113" t="s">
        <v>938</v>
      </c>
      <c r="C530" s="114">
        <v>5</v>
      </c>
      <c r="D530" s="113" t="s">
        <v>1555</v>
      </c>
      <c r="E530" s="108" t="s">
        <v>1213</v>
      </c>
      <c r="F530" s="49">
        <v>96</v>
      </c>
      <c r="G530" s="113" t="s">
        <v>587</v>
      </c>
      <c r="H530" s="137" t="s">
        <v>1303</v>
      </c>
      <c r="I530" s="137" t="s">
        <v>1321</v>
      </c>
      <c r="J530" s="45">
        <v>2</v>
      </c>
    </row>
    <row r="531" spans="1:10">
      <c r="A531" s="49">
        <v>292</v>
      </c>
      <c r="B531" s="108" t="s">
        <v>938</v>
      </c>
      <c r="C531" s="49">
        <v>5</v>
      </c>
      <c r="D531" s="108" t="s">
        <v>962</v>
      </c>
      <c r="E531" s="108" t="s">
        <v>1433</v>
      </c>
      <c r="F531" s="49">
        <v>96</v>
      </c>
      <c r="G531" s="10" t="s">
        <v>1414</v>
      </c>
      <c r="H531" s="137" t="s">
        <v>1303</v>
      </c>
      <c r="I531" s="137" t="s">
        <v>1321</v>
      </c>
      <c r="J531" s="45">
        <v>2</v>
      </c>
    </row>
    <row r="532" spans="1:10">
      <c r="A532" s="138">
        <v>242</v>
      </c>
      <c r="B532" s="153" t="s">
        <v>939</v>
      </c>
      <c r="C532" s="192">
        <v>1</v>
      </c>
      <c r="D532" s="153" t="s">
        <v>1658</v>
      </c>
      <c r="E532" s="193" t="s">
        <v>1322</v>
      </c>
      <c r="F532" s="194">
        <v>97</v>
      </c>
      <c r="G532" s="153" t="s">
        <v>972</v>
      </c>
      <c r="H532" s="195" t="s">
        <v>1322</v>
      </c>
      <c r="I532" s="195" t="s">
        <v>1322</v>
      </c>
      <c r="J532" s="45">
        <v>1</v>
      </c>
    </row>
    <row r="533" spans="1:10">
      <c r="A533" s="138">
        <v>285</v>
      </c>
      <c r="B533" s="153" t="s">
        <v>939</v>
      </c>
      <c r="C533" s="192">
        <v>1</v>
      </c>
      <c r="D533" s="153" t="s">
        <v>1667</v>
      </c>
      <c r="E533" s="193" t="s">
        <v>1346</v>
      </c>
      <c r="F533" s="194">
        <v>97</v>
      </c>
      <c r="G533" s="153" t="s">
        <v>967</v>
      </c>
      <c r="H533" s="195" t="s">
        <v>1322</v>
      </c>
      <c r="I533" s="195" t="s">
        <v>1322</v>
      </c>
      <c r="J533" s="45">
        <v>1</v>
      </c>
    </row>
    <row r="534" spans="1:10">
      <c r="A534" s="138">
        <v>31</v>
      </c>
      <c r="B534" s="139" t="s">
        <v>939</v>
      </c>
      <c r="C534" s="140">
        <v>2</v>
      </c>
      <c r="D534" s="139" t="s">
        <v>1622</v>
      </c>
      <c r="E534" s="141" t="s">
        <v>1185</v>
      </c>
      <c r="F534" s="143">
        <v>97</v>
      </c>
      <c r="G534" s="139" t="s">
        <v>587</v>
      </c>
      <c r="H534" s="142" t="s">
        <v>1322</v>
      </c>
      <c r="I534" s="142" t="s">
        <v>1322</v>
      </c>
      <c r="J534" s="45">
        <v>1</v>
      </c>
    </row>
    <row r="535" spans="1:10">
      <c r="A535" s="138">
        <v>67</v>
      </c>
      <c r="B535" s="139" t="s">
        <v>939</v>
      </c>
      <c r="C535" s="140">
        <v>2</v>
      </c>
      <c r="D535" s="139" t="s">
        <v>1555</v>
      </c>
      <c r="E535" s="141" t="s">
        <v>1210</v>
      </c>
      <c r="F535" s="143">
        <v>97</v>
      </c>
      <c r="G535" s="139" t="s">
        <v>986</v>
      </c>
      <c r="H535" s="142" t="s">
        <v>1322</v>
      </c>
      <c r="I535" s="142" t="s">
        <v>1322</v>
      </c>
      <c r="J535" s="45">
        <v>1</v>
      </c>
    </row>
    <row r="536" spans="1:10">
      <c r="A536" s="138">
        <v>132</v>
      </c>
      <c r="B536" s="139" t="s">
        <v>939</v>
      </c>
      <c r="C536" s="140">
        <v>2</v>
      </c>
      <c r="D536" s="139" t="s">
        <v>1553</v>
      </c>
      <c r="E536" s="141" t="s">
        <v>1254</v>
      </c>
      <c r="F536" s="143">
        <v>97</v>
      </c>
      <c r="G536" s="139" t="s">
        <v>1002</v>
      </c>
      <c r="H536" s="142" t="s">
        <v>1322</v>
      </c>
      <c r="I536" s="142" t="s">
        <v>1322</v>
      </c>
      <c r="J536" s="45">
        <v>1</v>
      </c>
    </row>
    <row r="537" spans="1:10">
      <c r="A537" s="138">
        <v>152</v>
      </c>
      <c r="B537" s="139" t="s">
        <v>939</v>
      </c>
      <c r="C537" s="140">
        <v>3</v>
      </c>
      <c r="D537" s="139" t="s">
        <v>1553</v>
      </c>
      <c r="E537" s="141" t="s">
        <v>1263</v>
      </c>
      <c r="F537" s="143">
        <v>97</v>
      </c>
      <c r="G537" s="139" t="s">
        <v>1009</v>
      </c>
      <c r="H537" s="142" t="s">
        <v>1322</v>
      </c>
      <c r="I537" s="142" t="s">
        <v>1322</v>
      </c>
      <c r="J537" s="45">
        <v>1</v>
      </c>
    </row>
    <row r="538" spans="1:10">
      <c r="A538" s="138">
        <v>187</v>
      </c>
      <c r="B538" s="139" t="s">
        <v>939</v>
      </c>
      <c r="C538" s="140">
        <v>3</v>
      </c>
      <c r="D538" s="139" t="s">
        <v>1645</v>
      </c>
      <c r="E538" s="141" t="s">
        <v>1429</v>
      </c>
      <c r="F538" s="143">
        <v>97</v>
      </c>
      <c r="G538" s="139" t="s">
        <v>587</v>
      </c>
      <c r="H538" s="142" t="s">
        <v>1322</v>
      </c>
      <c r="I538" s="142" t="s">
        <v>1322</v>
      </c>
      <c r="J538" s="45">
        <v>1</v>
      </c>
    </row>
    <row r="539" spans="1:10">
      <c r="A539" s="138">
        <v>59</v>
      </c>
      <c r="B539" s="139" t="s">
        <v>939</v>
      </c>
      <c r="C539" s="140">
        <v>4</v>
      </c>
      <c r="D539" s="139" t="s">
        <v>1630</v>
      </c>
      <c r="E539" s="141" t="s">
        <v>1205</v>
      </c>
      <c r="F539" s="143">
        <v>97</v>
      </c>
      <c r="G539" s="139" t="s">
        <v>1032</v>
      </c>
      <c r="H539" s="142" t="s">
        <v>1322</v>
      </c>
      <c r="I539" s="142" t="s">
        <v>1322</v>
      </c>
      <c r="J539" s="45">
        <v>1</v>
      </c>
    </row>
    <row r="540" spans="1:10">
      <c r="A540" s="138">
        <v>103</v>
      </c>
      <c r="B540" s="139" t="s">
        <v>939</v>
      </c>
      <c r="C540" s="140">
        <v>4</v>
      </c>
      <c r="D540" s="139" t="s">
        <v>1551</v>
      </c>
      <c r="E540" s="141" t="s">
        <v>1236</v>
      </c>
      <c r="F540" s="143">
        <v>97</v>
      </c>
      <c r="G540" s="139" t="s">
        <v>970</v>
      </c>
      <c r="H540" s="142" t="s">
        <v>1322</v>
      </c>
      <c r="I540" s="142" t="s">
        <v>1322</v>
      </c>
      <c r="J540" s="45">
        <v>1</v>
      </c>
    </row>
    <row r="541" spans="1:10">
      <c r="A541" s="138">
        <v>56</v>
      </c>
      <c r="B541" s="139" t="s">
        <v>939</v>
      </c>
      <c r="C541" s="140">
        <v>5</v>
      </c>
      <c r="D541" s="139" t="s">
        <v>1629</v>
      </c>
      <c r="E541" s="141" t="s">
        <v>1203</v>
      </c>
      <c r="F541" s="143">
        <v>97</v>
      </c>
      <c r="G541" s="139" t="s">
        <v>587</v>
      </c>
      <c r="H541" s="142" t="s">
        <v>1322</v>
      </c>
      <c r="I541" s="142" t="s">
        <v>1322</v>
      </c>
      <c r="J541" s="45">
        <v>1</v>
      </c>
    </row>
    <row r="542" spans="1:10">
      <c r="A542" s="138">
        <v>102</v>
      </c>
      <c r="B542" s="139" t="s">
        <v>939</v>
      </c>
      <c r="C542" s="140">
        <v>5</v>
      </c>
      <c r="D542" s="139" t="s">
        <v>18</v>
      </c>
      <c r="E542" s="141" t="s">
        <v>1428</v>
      </c>
      <c r="F542" s="143">
        <v>97</v>
      </c>
      <c r="G542" s="139" t="s">
        <v>1427</v>
      </c>
      <c r="H542" s="142" t="s">
        <v>1322</v>
      </c>
      <c r="I542" s="142" t="s">
        <v>1322</v>
      </c>
      <c r="J542" s="45">
        <v>1</v>
      </c>
    </row>
    <row r="543" spans="1:10">
      <c r="A543" s="138">
        <v>103</v>
      </c>
      <c r="B543" s="139" t="s">
        <v>939</v>
      </c>
      <c r="C543" s="140">
        <v>5</v>
      </c>
      <c r="D543" s="139" t="s">
        <v>1551</v>
      </c>
      <c r="E543" s="141" t="s">
        <v>1236</v>
      </c>
      <c r="F543" s="143">
        <v>97</v>
      </c>
      <c r="G543" s="139" t="s">
        <v>970</v>
      </c>
      <c r="H543" s="142" t="s">
        <v>1322</v>
      </c>
      <c r="I543" s="142" t="s">
        <v>1322</v>
      </c>
      <c r="J543" s="45">
        <v>1</v>
      </c>
    </row>
    <row r="544" spans="1:10">
      <c r="A544" s="138">
        <v>235</v>
      </c>
      <c r="B544" s="139" t="s">
        <v>939</v>
      </c>
      <c r="C544" s="140">
        <v>5</v>
      </c>
      <c r="D544" s="139" t="s">
        <v>1655</v>
      </c>
      <c r="E544" s="141" t="s">
        <v>1315</v>
      </c>
      <c r="F544" s="143">
        <v>97</v>
      </c>
      <c r="G544" s="139" t="s">
        <v>991</v>
      </c>
      <c r="H544" s="142" t="s">
        <v>1322</v>
      </c>
      <c r="I544" s="142" t="s">
        <v>1322</v>
      </c>
      <c r="J544" s="45">
        <v>1</v>
      </c>
    </row>
    <row r="545" spans="1:10">
      <c r="A545" s="143">
        <v>291</v>
      </c>
      <c r="B545" s="141" t="s">
        <v>939</v>
      </c>
      <c r="C545" s="143">
        <v>5</v>
      </c>
      <c r="D545" s="141" t="s">
        <v>1562</v>
      </c>
      <c r="E545" s="141" t="s">
        <v>1350</v>
      </c>
      <c r="F545" s="143">
        <v>97</v>
      </c>
      <c r="G545" s="144" t="s">
        <v>1008</v>
      </c>
      <c r="H545" s="142" t="s">
        <v>1322</v>
      </c>
      <c r="I545" s="142" t="s">
        <v>1322</v>
      </c>
      <c r="J545" s="45">
        <v>1</v>
      </c>
    </row>
  </sheetData>
  <autoFilter ref="A2:J545"/>
  <sortState ref="A3:J580">
    <sortCondition ref="F3:F580"/>
    <sortCondition ref="C3:C580"/>
  </sortState>
  <mergeCells count="1">
    <mergeCell ref="B1:I1"/>
  </mergeCells>
  <printOptions horizontalCentered="1"/>
  <pageMargins left="0.19685039370078741" right="0.19685039370078741" top="0.23" bottom="0.31" header="0.17" footer="0.17"/>
  <pageSetup paperSize="9" scale="73" orientation="landscape" r:id="rId1"/>
  <headerFooter>
    <oddFooter>&amp;C&amp;N /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>
    <tabColor rgb="FFFFFF00"/>
  </sheetPr>
  <dimension ref="A1:I50"/>
  <sheetViews>
    <sheetView showZeros="0" tabSelected="1" view="pageBreakPreview" zoomScale="85" zoomScaleNormal="100" zoomScaleSheetLayoutView="85" workbookViewId="0">
      <pane ySplit="2" topLeftCell="A3" activePane="bottomLeft" state="frozenSplit"/>
      <selection pane="bottomLeft" activeCell="E6" sqref="E6"/>
    </sheetView>
  </sheetViews>
  <sheetFormatPr defaultRowHeight="15.75"/>
  <cols>
    <col min="1" max="1" width="6" style="107" customWidth="1"/>
    <col min="2" max="2" width="19.28515625" style="111" customWidth="1"/>
    <col min="3" max="3" width="25.7109375" style="111" customWidth="1"/>
    <col min="4" max="4" width="7.7109375" style="110" customWidth="1"/>
    <col min="5" max="5" width="31.85546875" style="112" customWidth="1"/>
    <col min="6" max="6" width="53.85546875" style="111" customWidth="1"/>
    <col min="7" max="7" width="5.140625" style="110" customWidth="1"/>
    <col min="8" max="8" width="28.28515625" style="136" customWidth="1"/>
    <col min="9" max="9" width="26.140625" style="136" customWidth="1"/>
    <col min="10" max="16384" width="9.140625" style="109"/>
  </cols>
  <sheetData>
    <row r="1" spans="1:9" s="34" customFormat="1" ht="24" customHeight="1">
      <c r="A1" s="107"/>
      <c r="B1" s="181" t="s">
        <v>1707</v>
      </c>
      <c r="C1" s="181"/>
      <c r="D1" s="181"/>
      <c r="E1" s="181"/>
      <c r="F1" s="181"/>
      <c r="G1" s="181"/>
      <c r="H1" s="181"/>
      <c r="I1" s="181"/>
    </row>
    <row r="2" spans="1:9" s="45" customFormat="1" ht="17.25" customHeight="1">
      <c r="A2" s="57" t="s">
        <v>608</v>
      </c>
      <c r="B2" s="58" t="s">
        <v>375</v>
      </c>
      <c r="C2" s="58" t="s">
        <v>1171</v>
      </c>
      <c r="D2" s="178" t="s">
        <v>379</v>
      </c>
      <c r="E2" s="58" t="s">
        <v>614</v>
      </c>
      <c r="F2" s="58" t="s">
        <v>378</v>
      </c>
      <c r="G2" s="58" t="s">
        <v>241</v>
      </c>
      <c r="H2" s="58" t="s">
        <v>1422</v>
      </c>
      <c r="I2" s="58" t="s">
        <v>1423</v>
      </c>
    </row>
    <row r="3" spans="1:9" s="34" customFormat="1">
      <c r="A3" s="138">
        <v>13</v>
      </c>
      <c r="B3" s="146" t="s">
        <v>1566</v>
      </c>
      <c r="C3" s="146" t="s">
        <v>1177</v>
      </c>
      <c r="D3" s="138">
        <v>33</v>
      </c>
      <c r="E3" s="146" t="s">
        <v>992</v>
      </c>
      <c r="F3" s="146" t="s">
        <v>1580</v>
      </c>
      <c r="G3" s="138">
        <v>1</v>
      </c>
      <c r="H3" s="144" t="s">
        <v>1268</v>
      </c>
      <c r="I3" s="144" t="s">
        <v>1221</v>
      </c>
    </row>
    <row r="4" spans="1:9" s="34" customFormat="1">
      <c r="A4" s="140">
        <v>13</v>
      </c>
      <c r="B4" s="139" t="s">
        <v>1566</v>
      </c>
      <c r="C4" s="141" t="s">
        <v>1177</v>
      </c>
      <c r="D4" s="143">
        <v>34</v>
      </c>
      <c r="E4" s="139" t="s">
        <v>992</v>
      </c>
      <c r="F4" s="139" t="s">
        <v>1581</v>
      </c>
      <c r="G4" s="140">
        <v>2</v>
      </c>
      <c r="H4" s="144" t="s">
        <v>1209</v>
      </c>
      <c r="I4" s="144" t="s">
        <v>1421</v>
      </c>
    </row>
    <row r="5" spans="1:9" s="34" customFormat="1">
      <c r="A5" s="140">
        <v>13</v>
      </c>
      <c r="B5" s="139" t="s">
        <v>1566</v>
      </c>
      <c r="C5" s="141" t="s">
        <v>1177</v>
      </c>
      <c r="D5" s="143">
        <v>43</v>
      </c>
      <c r="E5" s="139" t="s">
        <v>992</v>
      </c>
      <c r="F5" s="139" t="s">
        <v>1582</v>
      </c>
      <c r="G5" s="140">
        <v>3</v>
      </c>
      <c r="H5" s="144" t="s">
        <v>1252</v>
      </c>
      <c r="I5" s="144" t="s">
        <v>1236</v>
      </c>
    </row>
    <row r="6" spans="1:9" s="34" customFormat="1">
      <c r="A6" s="140">
        <v>13</v>
      </c>
      <c r="B6" s="139" t="s">
        <v>1566</v>
      </c>
      <c r="C6" s="141" t="s">
        <v>1177</v>
      </c>
      <c r="D6" s="143">
        <v>89</v>
      </c>
      <c r="E6" s="139" t="s">
        <v>992</v>
      </c>
      <c r="F6" s="139" t="s">
        <v>1583</v>
      </c>
      <c r="G6" s="140">
        <v>4</v>
      </c>
      <c r="H6" s="142" t="s">
        <v>1299</v>
      </c>
      <c r="I6" s="142" t="s">
        <v>1345</v>
      </c>
    </row>
    <row r="7" spans="1:9" s="34" customFormat="1">
      <c r="A7" s="140">
        <v>13</v>
      </c>
      <c r="B7" s="139" t="s">
        <v>1566</v>
      </c>
      <c r="C7" s="141" t="s">
        <v>1177</v>
      </c>
      <c r="D7" s="143">
        <v>67</v>
      </c>
      <c r="E7" s="139" t="s">
        <v>992</v>
      </c>
      <c r="F7" s="139" t="s">
        <v>1584</v>
      </c>
      <c r="G7" s="140">
        <v>5</v>
      </c>
      <c r="H7" s="144" t="s">
        <v>1416</v>
      </c>
      <c r="I7" s="144" t="s">
        <v>1241</v>
      </c>
    </row>
    <row r="8" spans="1:9" s="34" customFormat="1">
      <c r="A8" s="115">
        <v>32</v>
      </c>
      <c r="B8" s="147" t="s">
        <v>1567</v>
      </c>
      <c r="C8" s="147" t="s">
        <v>1186</v>
      </c>
      <c r="D8" s="115">
        <v>27</v>
      </c>
      <c r="E8" s="147" t="s">
        <v>592</v>
      </c>
      <c r="F8" s="147" t="s">
        <v>569</v>
      </c>
      <c r="G8" s="115">
        <v>1</v>
      </c>
      <c r="H8" s="10" t="s">
        <v>1186</v>
      </c>
      <c r="I8" s="10" t="s">
        <v>1186</v>
      </c>
    </row>
    <row r="9" spans="1:9" s="34" customFormat="1">
      <c r="A9" s="138">
        <v>39</v>
      </c>
      <c r="B9" s="146" t="s">
        <v>1564</v>
      </c>
      <c r="C9" s="146" t="s">
        <v>1191</v>
      </c>
      <c r="D9" s="138">
        <v>26</v>
      </c>
      <c r="E9" s="146" t="s">
        <v>1031</v>
      </c>
      <c r="F9" s="146" t="s">
        <v>1573</v>
      </c>
      <c r="G9" s="138">
        <v>1</v>
      </c>
      <c r="H9" s="144" t="s">
        <v>1192</v>
      </c>
      <c r="I9" s="144" t="s">
        <v>1273</v>
      </c>
    </row>
    <row r="10" spans="1:9" s="34" customFormat="1">
      <c r="A10" s="140">
        <v>39</v>
      </c>
      <c r="B10" s="139" t="s">
        <v>1564</v>
      </c>
      <c r="C10" s="141" t="s">
        <v>1191</v>
      </c>
      <c r="D10" s="143">
        <v>84</v>
      </c>
      <c r="E10" s="139" t="s">
        <v>1031</v>
      </c>
      <c r="F10" s="139" t="s">
        <v>1574</v>
      </c>
      <c r="G10" s="140">
        <v>2</v>
      </c>
      <c r="H10" s="144" t="s">
        <v>1174</v>
      </c>
      <c r="I10" s="144" t="s">
        <v>1291</v>
      </c>
    </row>
    <row r="11" spans="1:9" s="34" customFormat="1">
      <c r="A11" s="140">
        <v>39</v>
      </c>
      <c r="B11" s="139" t="s">
        <v>1564</v>
      </c>
      <c r="C11" s="141" t="s">
        <v>1191</v>
      </c>
      <c r="D11" s="143">
        <v>4</v>
      </c>
      <c r="E11" s="139" t="s">
        <v>1031</v>
      </c>
      <c r="F11" s="139" t="s">
        <v>1575</v>
      </c>
      <c r="G11" s="140">
        <v>3</v>
      </c>
      <c r="H11" s="142" t="s">
        <v>1247</v>
      </c>
      <c r="I11" s="142" t="s">
        <v>1247</v>
      </c>
    </row>
    <row r="12" spans="1:9" s="34" customFormat="1">
      <c r="A12" s="140">
        <v>39</v>
      </c>
      <c r="B12" s="139" t="s">
        <v>1564</v>
      </c>
      <c r="C12" s="141" t="s">
        <v>1191</v>
      </c>
      <c r="D12" s="143">
        <v>55</v>
      </c>
      <c r="E12" s="139" t="s">
        <v>1031</v>
      </c>
      <c r="F12" s="139" t="s">
        <v>1585</v>
      </c>
      <c r="G12" s="140">
        <v>4</v>
      </c>
      <c r="H12" s="144" t="s">
        <v>1415</v>
      </c>
      <c r="I12" s="144" t="s">
        <v>1415</v>
      </c>
    </row>
    <row r="13" spans="1:9" s="34" customFormat="1">
      <c r="A13" s="140">
        <v>39</v>
      </c>
      <c r="B13" s="139" t="s">
        <v>1564</v>
      </c>
      <c r="C13" s="141" t="s">
        <v>1191</v>
      </c>
      <c r="D13" s="143">
        <v>80</v>
      </c>
      <c r="E13" s="139" t="s">
        <v>1031</v>
      </c>
      <c r="F13" s="139" t="s">
        <v>1594</v>
      </c>
      <c r="G13" s="140">
        <v>5</v>
      </c>
      <c r="H13" s="144" t="s">
        <v>1283</v>
      </c>
      <c r="I13" s="144" t="s">
        <v>1245</v>
      </c>
    </row>
    <row r="14" spans="1:9" s="34" customFormat="1">
      <c r="A14" s="115">
        <v>78</v>
      </c>
      <c r="B14" s="147" t="s">
        <v>1557</v>
      </c>
      <c r="C14" s="147" t="s">
        <v>1218</v>
      </c>
      <c r="D14" s="115">
        <v>67</v>
      </c>
      <c r="E14" s="147" t="s">
        <v>971</v>
      </c>
      <c r="F14" s="147" t="s">
        <v>1584</v>
      </c>
      <c r="G14" s="115">
        <v>1</v>
      </c>
      <c r="H14" s="10" t="s">
        <v>1416</v>
      </c>
      <c r="I14" s="10" t="s">
        <v>1241</v>
      </c>
    </row>
    <row r="15" spans="1:9" s="34" customFormat="1">
      <c r="A15" s="117">
        <v>78</v>
      </c>
      <c r="B15" s="116" t="s">
        <v>1557</v>
      </c>
      <c r="C15" s="108" t="s">
        <v>1218</v>
      </c>
      <c r="D15" s="49">
        <v>86</v>
      </c>
      <c r="E15" s="116" t="s">
        <v>971</v>
      </c>
      <c r="F15" s="116" t="s">
        <v>1609</v>
      </c>
      <c r="G15" s="117">
        <v>2</v>
      </c>
      <c r="H15" s="156" t="s">
        <v>1235</v>
      </c>
      <c r="I15" s="156" t="s">
        <v>1218</v>
      </c>
    </row>
    <row r="16" spans="1:9" s="34" customFormat="1">
      <c r="A16" s="117">
        <v>78</v>
      </c>
      <c r="B16" s="116" t="s">
        <v>1557</v>
      </c>
      <c r="C16" s="108" t="s">
        <v>1218</v>
      </c>
      <c r="D16" s="49">
        <v>43</v>
      </c>
      <c r="E16" s="116" t="s">
        <v>971</v>
      </c>
      <c r="F16" s="116" t="s">
        <v>1582</v>
      </c>
      <c r="G16" s="117">
        <v>3</v>
      </c>
      <c r="H16" s="10" t="s">
        <v>1252</v>
      </c>
      <c r="I16" s="10" t="s">
        <v>1236</v>
      </c>
    </row>
    <row r="17" spans="1:9" s="34" customFormat="1">
      <c r="A17" s="117">
        <v>78</v>
      </c>
      <c r="B17" s="116" t="s">
        <v>1557</v>
      </c>
      <c r="C17" s="108" t="s">
        <v>1218</v>
      </c>
      <c r="D17" s="49">
        <v>26</v>
      </c>
      <c r="E17" s="116" t="s">
        <v>971</v>
      </c>
      <c r="F17" s="116" t="s">
        <v>1573</v>
      </c>
      <c r="G17" s="117">
        <v>4</v>
      </c>
      <c r="H17" s="10" t="s">
        <v>1192</v>
      </c>
      <c r="I17" s="10" t="s">
        <v>1273</v>
      </c>
    </row>
    <row r="18" spans="1:9" s="34" customFormat="1">
      <c r="A18" s="117">
        <v>78</v>
      </c>
      <c r="B18" s="116" t="s">
        <v>1557</v>
      </c>
      <c r="C18" s="108" t="s">
        <v>1218</v>
      </c>
      <c r="D18" s="49">
        <v>56</v>
      </c>
      <c r="E18" s="116" t="s">
        <v>971</v>
      </c>
      <c r="F18" s="116" t="s">
        <v>1610</v>
      </c>
      <c r="G18" s="117">
        <v>5</v>
      </c>
      <c r="H18" s="10" t="s">
        <v>1219</v>
      </c>
      <c r="I18" s="10" t="s">
        <v>1417</v>
      </c>
    </row>
    <row r="19" spans="1:9" s="34" customFormat="1">
      <c r="A19" s="138">
        <v>86</v>
      </c>
      <c r="B19" s="146" t="s">
        <v>1558</v>
      </c>
      <c r="C19" s="146" t="s">
        <v>1224</v>
      </c>
      <c r="D19" s="138">
        <v>33</v>
      </c>
      <c r="E19" s="146" t="s">
        <v>1003</v>
      </c>
      <c r="F19" s="146" t="s">
        <v>1580</v>
      </c>
      <c r="G19" s="138">
        <v>1</v>
      </c>
      <c r="H19" s="144" t="s">
        <v>1268</v>
      </c>
      <c r="I19" s="144" t="s">
        <v>1221</v>
      </c>
    </row>
    <row r="20" spans="1:9" s="34" customFormat="1">
      <c r="A20" s="140">
        <v>86</v>
      </c>
      <c r="B20" s="139" t="s">
        <v>1558</v>
      </c>
      <c r="C20" s="141" t="s">
        <v>1224</v>
      </c>
      <c r="D20" s="143">
        <v>49</v>
      </c>
      <c r="E20" s="139" t="s">
        <v>1003</v>
      </c>
      <c r="F20" s="139" t="s">
        <v>1591</v>
      </c>
      <c r="G20" s="140">
        <v>2</v>
      </c>
      <c r="H20" s="144" t="s">
        <v>1256</v>
      </c>
      <c r="I20" s="144" t="s">
        <v>1290</v>
      </c>
    </row>
    <row r="21" spans="1:9" s="34" customFormat="1">
      <c r="A21" s="140">
        <v>86</v>
      </c>
      <c r="B21" s="139" t="s">
        <v>1558</v>
      </c>
      <c r="C21" s="141" t="s">
        <v>1224</v>
      </c>
      <c r="D21" s="143">
        <v>43</v>
      </c>
      <c r="E21" s="139" t="s">
        <v>1003</v>
      </c>
      <c r="F21" s="139" t="s">
        <v>1582</v>
      </c>
      <c r="G21" s="140">
        <v>3</v>
      </c>
      <c r="H21" s="144" t="s">
        <v>1252</v>
      </c>
      <c r="I21" s="144" t="s">
        <v>1236</v>
      </c>
    </row>
    <row r="22" spans="1:9" s="34" customFormat="1">
      <c r="A22" s="140">
        <v>86</v>
      </c>
      <c r="B22" s="139" t="s">
        <v>1558</v>
      </c>
      <c r="C22" s="141" t="s">
        <v>1224</v>
      </c>
      <c r="D22" s="143">
        <v>84</v>
      </c>
      <c r="E22" s="139" t="s">
        <v>1003</v>
      </c>
      <c r="F22" s="139" t="s">
        <v>1574</v>
      </c>
      <c r="G22" s="140">
        <v>4</v>
      </c>
      <c r="H22" s="142" t="s">
        <v>1174</v>
      </c>
      <c r="I22" s="142" t="s">
        <v>1291</v>
      </c>
    </row>
    <row r="23" spans="1:9" s="34" customFormat="1">
      <c r="A23" s="140">
        <v>86</v>
      </c>
      <c r="B23" s="139" t="s">
        <v>1558</v>
      </c>
      <c r="C23" s="141" t="s">
        <v>1224</v>
      </c>
      <c r="D23" s="143">
        <v>31</v>
      </c>
      <c r="E23" s="139" t="s">
        <v>1003</v>
      </c>
      <c r="F23" s="139" t="s">
        <v>1590</v>
      </c>
      <c r="G23" s="140">
        <v>5</v>
      </c>
      <c r="H23" s="144" t="s">
        <v>1214</v>
      </c>
      <c r="I23" s="144" t="s">
        <v>1330</v>
      </c>
    </row>
    <row r="24" spans="1:9" s="34" customFormat="1">
      <c r="A24" s="115">
        <v>96</v>
      </c>
      <c r="B24" s="147" t="s">
        <v>1559</v>
      </c>
      <c r="C24" s="147" t="s">
        <v>1231</v>
      </c>
      <c r="D24" s="115">
        <v>96</v>
      </c>
      <c r="E24" s="147" t="s">
        <v>596</v>
      </c>
      <c r="F24" s="147" t="s">
        <v>938</v>
      </c>
      <c r="G24" s="115">
        <v>1</v>
      </c>
      <c r="H24" s="156" t="s">
        <v>1303</v>
      </c>
      <c r="I24" s="156" t="s">
        <v>1321</v>
      </c>
    </row>
    <row r="25" spans="1:9" s="34" customFormat="1">
      <c r="A25" s="117">
        <v>96</v>
      </c>
      <c r="B25" s="116" t="s">
        <v>1559</v>
      </c>
      <c r="C25" s="108" t="s">
        <v>1231</v>
      </c>
      <c r="D25" s="49">
        <v>72</v>
      </c>
      <c r="E25" s="116" t="s">
        <v>596</v>
      </c>
      <c r="F25" s="116" t="s">
        <v>582</v>
      </c>
      <c r="G25" s="117">
        <v>2</v>
      </c>
      <c r="H25" s="10" t="s">
        <v>1172</v>
      </c>
      <c r="I25" s="10" t="s">
        <v>1416</v>
      </c>
    </row>
    <row r="26" spans="1:9" s="34" customFormat="1">
      <c r="A26" s="117">
        <v>96</v>
      </c>
      <c r="B26" s="116" t="s">
        <v>1559</v>
      </c>
      <c r="C26" s="108" t="s">
        <v>1231</v>
      </c>
      <c r="D26" s="49">
        <v>39</v>
      </c>
      <c r="E26" s="116" t="s">
        <v>596</v>
      </c>
      <c r="F26" s="116" t="s">
        <v>545</v>
      </c>
      <c r="G26" s="117">
        <v>3</v>
      </c>
      <c r="H26" s="10" t="s">
        <v>1294</v>
      </c>
      <c r="I26" s="10" t="s">
        <v>1201</v>
      </c>
    </row>
    <row r="27" spans="1:9" s="34" customFormat="1">
      <c r="A27" s="117">
        <v>96</v>
      </c>
      <c r="B27" s="116" t="s">
        <v>1559</v>
      </c>
      <c r="C27" s="108" t="s">
        <v>1231</v>
      </c>
      <c r="D27" s="49">
        <v>15</v>
      </c>
      <c r="E27" s="116" t="s">
        <v>596</v>
      </c>
      <c r="F27" s="116" t="s">
        <v>543</v>
      </c>
      <c r="G27" s="117">
        <v>4</v>
      </c>
      <c r="H27" s="156" t="s">
        <v>1328</v>
      </c>
      <c r="I27" s="156" t="s">
        <v>1335</v>
      </c>
    </row>
    <row r="28" spans="1:9" s="34" customFormat="1">
      <c r="A28" s="117">
        <v>96</v>
      </c>
      <c r="B28" s="116" t="s">
        <v>1559</v>
      </c>
      <c r="C28" s="108" t="s">
        <v>1231</v>
      </c>
      <c r="D28" s="49">
        <v>95</v>
      </c>
      <c r="E28" s="116" t="s">
        <v>596</v>
      </c>
      <c r="F28" s="116" t="s">
        <v>1611</v>
      </c>
      <c r="G28" s="117">
        <v>5</v>
      </c>
      <c r="H28" s="156" t="s">
        <v>1258</v>
      </c>
      <c r="I28" s="156" t="s">
        <v>1341</v>
      </c>
    </row>
    <row r="29" spans="1:9" s="34" customFormat="1">
      <c r="A29" s="138">
        <v>109</v>
      </c>
      <c r="B29" s="146" t="s">
        <v>1560</v>
      </c>
      <c r="C29" s="146" t="s">
        <v>1241</v>
      </c>
      <c r="D29" s="138">
        <v>67</v>
      </c>
      <c r="E29" s="146" t="s">
        <v>1011</v>
      </c>
      <c r="F29" s="146" t="s">
        <v>1584</v>
      </c>
      <c r="G29" s="138">
        <v>1</v>
      </c>
      <c r="H29" s="144" t="s">
        <v>1416</v>
      </c>
      <c r="I29" s="144" t="s">
        <v>1241</v>
      </c>
    </row>
    <row r="30" spans="1:9" s="34" customFormat="1">
      <c r="A30" s="140">
        <v>109</v>
      </c>
      <c r="B30" s="139" t="s">
        <v>1560</v>
      </c>
      <c r="C30" s="141" t="s">
        <v>1241</v>
      </c>
      <c r="D30" s="143">
        <v>56</v>
      </c>
      <c r="E30" s="139" t="s">
        <v>1011</v>
      </c>
      <c r="F30" s="139" t="s">
        <v>1610</v>
      </c>
      <c r="G30" s="140">
        <v>2</v>
      </c>
      <c r="H30" s="144" t="s">
        <v>1219</v>
      </c>
      <c r="I30" s="144" t="s">
        <v>1417</v>
      </c>
    </row>
    <row r="31" spans="1:9" s="34" customFormat="1">
      <c r="A31" s="159">
        <v>167</v>
      </c>
      <c r="B31" s="160" t="s">
        <v>1561</v>
      </c>
      <c r="C31" s="145" t="s">
        <v>1273</v>
      </c>
      <c r="D31" s="159">
        <v>26</v>
      </c>
      <c r="E31" s="148" t="s">
        <v>971</v>
      </c>
      <c r="F31" s="160" t="s">
        <v>1573</v>
      </c>
      <c r="G31" s="159">
        <v>1</v>
      </c>
      <c r="H31" s="10" t="s">
        <v>1701</v>
      </c>
      <c r="I31" s="10" t="s">
        <v>1702</v>
      </c>
    </row>
    <row r="32" spans="1:9" s="34" customFormat="1">
      <c r="A32" s="16">
        <v>167</v>
      </c>
      <c r="B32" s="157" t="s">
        <v>1561</v>
      </c>
      <c r="C32" s="108" t="s">
        <v>1273</v>
      </c>
      <c r="D32" s="16">
        <v>23</v>
      </c>
      <c r="E32" s="10" t="s">
        <v>971</v>
      </c>
      <c r="F32" s="157" t="s">
        <v>1586</v>
      </c>
      <c r="G32" s="16">
        <v>2</v>
      </c>
      <c r="H32" s="10" t="s">
        <v>1701</v>
      </c>
      <c r="I32" s="10" t="s">
        <v>1702</v>
      </c>
    </row>
    <row r="33" spans="1:9">
      <c r="A33" s="16">
        <v>167</v>
      </c>
      <c r="B33" s="157" t="s">
        <v>1561</v>
      </c>
      <c r="C33" s="108" t="s">
        <v>1273</v>
      </c>
      <c r="D33" s="16">
        <v>84</v>
      </c>
      <c r="E33" s="10" t="s">
        <v>971</v>
      </c>
      <c r="F33" s="157" t="s">
        <v>1574</v>
      </c>
      <c r="G33" s="16">
        <v>3</v>
      </c>
      <c r="H33" s="10" t="s">
        <v>1701</v>
      </c>
      <c r="I33" s="10" t="s">
        <v>1702</v>
      </c>
    </row>
    <row r="34" spans="1:9">
      <c r="A34" s="16">
        <v>167</v>
      </c>
      <c r="B34" s="157" t="s">
        <v>1561</v>
      </c>
      <c r="C34" s="108" t="s">
        <v>1273</v>
      </c>
      <c r="D34" s="16">
        <v>49</v>
      </c>
      <c r="E34" s="10" t="s">
        <v>971</v>
      </c>
      <c r="F34" s="157" t="s">
        <v>1591</v>
      </c>
      <c r="G34" s="16">
        <v>4</v>
      </c>
      <c r="H34" s="10" t="s">
        <v>1701</v>
      </c>
      <c r="I34" s="10" t="s">
        <v>1702</v>
      </c>
    </row>
    <row r="35" spans="1:9">
      <c r="A35" s="138">
        <v>277</v>
      </c>
      <c r="B35" s="146" t="s">
        <v>1563</v>
      </c>
      <c r="C35" s="146" t="s">
        <v>1341</v>
      </c>
      <c r="D35" s="138">
        <v>55</v>
      </c>
      <c r="E35" s="146" t="s">
        <v>587</v>
      </c>
      <c r="F35" s="146" t="s">
        <v>1585</v>
      </c>
      <c r="G35" s="138">
        <v>1</v>
      </c>
      <c r="H35" s="144" t="s">
        <v>1415</v>
      </c>
      <c r="I35" s="144" t="s">
        <v>1415</v>
      </c>
    </row>
    <row r="36" spans="1:9">
      <c r="A36" s="140">
        <v>277</v>
      </c>
      <c r="B36" s="139" t="s">
        <v>1563</v>
      </c>
      <c r="C36" s="141" t="s">
        <v>1341</v>
      </c>
      <c r="D36" s="143">
        <v>67</v>
      </c>
      <c r="E36" s="139" t="s">
        <v>587</v>
      </c>
      <c r="F36" s="139" t="s">
        <v>1584</v>
      </c>
      <c r="G36" s="140">
        <v>2</v>
      </c>
      <c r="H36" s="144" t="s">
        <v>1416</v>
      </c>
      <c r="I36" s="144" t="s">
        <v>1241</v>
      </c>
    </row>
    <row r="37" spans="1:9">
      <c r="A37" s="140">
        <v>277</v>
      </c>
      <c r="B37" s="139" t="s">
        <v>1563</v>
      </c>
      <c r="C37" s="141" t="s">
        <v>1341</v>
      </c>
      <c r="D37" s="143">
        <v>49</v>
      </c>
      <c r="E37" s="139" t="s">
        <v>587</v>
      </c>
      <c r="F37" s="139" t="s">
        <v>1591</v>
      </c>
      <c r="G37" s="140">
        <v>3</v>
      </c>
      <c r="H37" s="144" t="s">
        <v>1256</v>
      </c>
      <c r="I37" s="144" t="s">
        <v>1290</v>
      </c>
    </row>
    <row r="38" spans="1:9">
      <c r="A38" s="140">
        <v>277</v>
      </c>
      <c r="B38" s="139" t="s">
        <v>1563</v>
      </c>
      <c r="C38" s="141" t="s">
        <v>1341</v>
      </c>
      <c r="D38" s="143">
        <v>31</v>
      </c>
      <c r="E38" s="139" t="s">
        <v>587</v>
      </c>
      <c r="F38" s="139" t="s">
        <v>1590</v>
      </c>
      <c r="G38" s="140">
        <v>4</v>
      </c>
      <c r="H38" s="144" t="s">
        <v>1214</v>
      </c>
      <c r="I38" s="144" t="s">
        <v>1330</v>
      </c>
    </row>
    <row r="39" spans="1:9">
      <c r="A39" s="140">
        <v>277</v>
      </c>
      <c r="B39" s="139" t="s">
        <v>1563</v>
      </c>
      <c r="C39" s="141" t="s">
        <v>1341</v>
      </c>
      <c r="D39" s="143">
        <v>34</v>
      </c>
      <c r="E39" s="139" t="s">
        <v>587</v>
      </c>
      <c r="F39" s="139" t="s">
        <v>1581</v>
      </c>
      <c r="G39" s="140">
        <v>5</v>
      </c>
      <c r="H39" s="144" t="s">
        <v>1209</v>
      </c>
      <c r="I39" s="144" t="s">
        <v>1421</v>
      </c>
    </row>
    <row r="40" spans="1:9">
      <c r="A40" s="140">
        <v>277</v>
      </c>
      <c r="B40" s="139" t="s">
        <v>1563</v>
      </c>
      <c r="C40" s="141" t="s">
        <v>1341</v>
      </c>
      <c r="D40" s="143">
        <v>84</v>
      </c>
      <c r="E40" s="139" t="s">
        <v>587</v>
      </c>
      <c r="F40" s="139" t="s">
        <v>1574</v>
      </c>
      <c r="G40" s="140">
        <v>6</v>
      </c>
      <c r="H40" s="142" t="s">
        <v>1174</v>
      </c>
      <c r="I40" s="142" t="s">
        <v>1291</v>
      </c>
    </row>
    <row r="41" spans="1:9">
      <c r="A41" s="140">
        <v>277</v>
      </c>
      <c r="B41" s="139" t="s">
        <v>1563</v>
      </c>
      <c r="C41" s="141" t="s">
        <v>1341</v>
      </c>
      <c r="D41" s="143">
        <v>60</v>
      </c>
      <c r="E41" s="139" t="s">
        <v>587</v>
      </c>
      <c r="F41" s="139" t="s">
        <v>555</v>
      </c>
      <c r="G41" s="140">
        <v>7</v>
      </c>
      <c r="H41" s="144" t="s">
        <v>1327</v>
      </c>
      <c r="I41" s="144" t="s">
        <v>1342</v>
      </c>
    </row>
    <row r="42" spans="1:9">
      <c r="A42" s="159">
        <v>280</v>
      </c>
      <c r="B42" s="160" t="s">
        <v>1565</v>
      </c>
      <c r="C42" s="145" t="s">
        <v>1343</v>
      </c>
      <c r="D42" s="159">
        <v>76</v>
      </c>
      <c r="E42" s="148" t="s">
        <v>598</v>
      </c>
      <c r="F42" s="160" t="s">
        <v>1613</v>
      </c>
      <c r="G42" s="159">
        <v>1</v>
      </c>
      <c r="H42" s="158" t="s">
        <v>546</v>
      </c>
      <c r="I42" s="158" t="s">
        <v>1613</v>
      </c>
    </row>
    <row r="43" spans="1:9">
      <c r="A43" s="16">
        <v>280</v>
      </c>
      <c r="B43" s="157" t="s">
        <v>1565</v>
      </c>
      <c r="C43" s="108" t="s">
        <v>1343</v>
      </c>
      <c r="D43" s="16">
        <v>80</v>
      </c>
      <c r="E43" s="10" t="s">
        <v>598</v>
      </c>
      <c r="F43" s="157" t="s">
        <v>1594</v>
      </c>
      <c r="G43" s="16">
        <v>2</v>
      </c>
      <c r="H43" s="158" t="s">
        <v>546</v>
      </c>
      <c r="I43" s="158" t="s">
        <v>1613</v>
      </c>
    </row>
    <row r="44" spans="1:9">
      <c r="A44" s="16">
        <v>280</v>
      </c>
      <c r="B44" s="157" t="s">
        <v>1565</v>
      </c>
      <c r="C44" s="108" t="s">
        <v>1343</v>
      </c>
      <c r="D44" s="16">
        <v>81</v>
      </c>
      <c r="E44" s="10" t="s">
        <v>598</v>
      </c>
      <c r="F44" s="157" t="s">
        <v>546</v>
      </c>
      <c r="G44" s="16">
        <v>3</v>
      </c>
      <c r="H44" s="158" t="s">
        <v>546</v>
      </c>
      <c r="I44" s="158" t="s">
        <v>1613</v>
      </c>
    </row>
    <row r="45" spans="1:9">
      <c r="A45" s="16">
        <v>280</v>
      </c>
      <c r="B45" s="157" t="s">
        <v>1565</v>
      </c>
      <c r="C45" s="108" t="s">
        <v>1343</v>
      </c>
      <c r="D45" s="16">
        <v>55</v>
      </c>
      <c r="E45" s="10" t="s">
        <v>598</v>
      </c>
      <c r="F45" s="157" t="s">
        <v>1585</v>
      </c>
      <c r="G45" s="16">
        <v>4</v>
      </c>
      <c r="H45" s="158" t="s">
        <v>546</v>
      </c>
      <c r="I45" s="158" t="s">
        <v>1613</v>
      </c>
    </row>
    <row r="46" spans="1:9">
      <c r="A46" s="16">
        <v>280</v>
      </c>
      <c r="B46" s="157" t="s">
        <v>1565</v>
      </c>
      <c r="C46" s="108" t="s">
        <v>1343</v>
      </c>
      <c r="D46" s="16">
        <v>31</v>
      </c>
      <c r="E46" s="10" t="s">
        <v>598</v>
      </c>
      <c r="F46" s="157" t="s">
        <v>1590</v>
      </c>
      <c r="G46" s="16">
        <v>5</v>
      </c>
      <c r="H46" s="158" t="s">
        <v>546</v>
      </c>
      <c r="I46" s="158" t="s">
        <v>1613</v>
      </c>
    </row>
    <row r="47" spans="1:9">
      <c r="A47" s="140">
        <v>65</v>
      </c>
      <c r="B47" s="139" t="s">
        <v>1555</v>
      </c>
      <c r="C47" s="141" t="s">
        <v>1467</v>
      </c>
      <c r="D47" s="143">
        <v>4</v>
      </c>
      <c r="E47" s="139" t="s">
        <v>1706</v>
      </c>
      <c r="F47" s="139" t="s">
        <v>1575</v>
      </c>
      <c r="G47" s="140">
        <v>1</v>
      </c>
      <c r="H47" s="144"/>
      <c r="I47" s="144" t="s">
        <v>1705</v>
      </c>
    </row>
    <row r="48" spans="1:9">
      <c r="A48" s="140">
        <v>65</v>
      </c>
      <c r="B48" s="139" t="s">
        <v>1555</v>
      </c>
      <c r="C48" s="141" t="s">
        <v>1467</v>
      </c>
      <c r="D48" s="143">
        <v>22</v>
      </c>
      <c r="E48" s="139" t="s">
        <v>1706</v>
      </c>
      <c r="F48" s="139" t="s">
        <v>956</v>
      </c>
      <c r="G48" s="140">
        <v>2</v>
      </c>
      <c r="H48" s="144"/>
      <c r="I48" s="144" t="s">
        <v>1705</v>
      </c>
    </row>
    <row r="49" spans="1:9">
      <c r="A49" s="140">
        <v>65</v>
      </c>
      <c r="B49" s="139" t="s">
        <v>1555</v>
      </c>
      <c r="C49" s="141" t="s">
        <v>1467</v>
      </c>
      <c r="D49" s="143">
        <v>55</v>
      </c>
      <c r="E49" s="139" t="s">
        <v>1706</v>
      </c>
      <c r="F49" s="139" t="s">
        <v>1585</v>
      </c>
      <c r="G49" s="140">
        <v>3</v>
      </c>
      <c r="H49" s="144"/>
      <c r="I49" s="144" t="s">
        <v>1705</v>
      </c>
    </row>
    <row r="50" spans="1:9">
      <c r="A50" s="140">
        <v>65</v>
      </c>
      <c r="B50" s="139" t="s">
        <v>1555</v>
      </c>
      <c r="C50" s="141" t="s">
        <v>1467</v>
      </c>
      <c r="D50" s="143">
        <v>56</v>
      </c>
      <c r="E50" s="139" t="s">
        <v>1706</v>
      </c>
      <c r="F50" s="139" t="s">
        <v>1610</v>
      </c>
      <c r="G50" s="140">
        <v>4</v>
      </c>
      <c r="H50" s="144"/>
      <c r="I50" s="144" t="s">
        <v>1705</v>
      </c>
    </row>
  </sheetData>
  <autoFilter ref="A2:I46"/>
  <sortState ref="A3:M46">
    <sortCondition ref="A3:A46"/>
    <sortCondition ref="F3:F46"/>
  </sortState>
  <mergeCells count="1">
    <mergeCell ref="B1:I1"/>
  </mergeCells>
  <printOptions horizontalCentered="1"/>
  <pageMargins left="0.19685039370078741" right="0.19685039370078741" top="0.2" bottom="0.2" header="0.15748031496062992" footer="0.15748031496062992"/>
  <pageSetup paperSize="9" scale="7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E17"/>
  <sheetViews>
    <sheetView view="pageBreakPreview" zoomScale="145" zoomScaleNormal="100" zoomScaleSheetLayoutView="145" workbookViewId="0">
      <selection activeCell="E16" sqref="E16"/>
    </sheetView>
  </sheetViews>
  <sheetFormatPr defaultRowHeight="15"/>
  <cols>
    <col min="1" max="1" width="8.7109375" style="1" customWidth="1"/>
    <col min="2" max="2" width="28.7109375" style="1" customWidth="1"/>
    <col min="3" max="3" width="14.28515625" style="1" customWidth="1"/>
    <col min="4" max="4" width="13.7109375" style="1" customWidth="1"/>
    <col min="5" max="5" width="20.42578125" style="1" customWidth="1"/>
    <col min="6" max="16384" width="9.140625" style="1"/>
  </cols>
  <sheetData>
    <row r="1" spans="1:5" ht="24.75" customHeight="1">
      <c r="B1" s="182" t="s">
        <v>1570</v>
      </c>
      <c r="C1" s="182"/>
      <c r="D1" s="182"/>
      <c r="E1" s="182"/>
    </row>
    <row r="2" spans="1:5" ht="18.75">
      <c r="A2" s="138" t="s">
        <v>1568</v>
      </c>
      <c r="B2" s="150" t="s">
        <v>1171</v>
      </c>
      <c r="C2" s="150" t="s">
        <v>0</v>
      </c>
      <c r="D2" s="150" t="s">
        <v>1569</v>
      </c>
      <c r="E2" s="150" t="s">
        <v>1571</v>
      </c>
    </row>
    <row r="3" spans="1:5" ht="18.75">
      <c r="A3" s="149">
        <v>53</v>
      </c>
      <c r="B3" s="151" t="s">
        <v>1462</v>
      </c>
      <c r="C3" s="151" t="s">
        <v>1549</v>
      </c>
      <c r="D3" s="151" t="s">
        <v>1550</v>
      </c>
      <c r="E3" s="151" t="str">
        <f>IF(COUNTIF('plan büt trch'!A:A,'PLAN-BÜTÇE'!A3),"Var","Tercihi Gelmedi")</f>
        <v>Tercihi Gelmedi</v>
      </c>
    </row>
    <row r="4" spans="1:5" ht="18.75">
      <c r="A4" s="149">
        <v>13</v>
      </c>
      <c r="B4" s="151" t="s">
        <v>1177</v>
      </c>
      <c r="C4" s="151" t="s">
        <v>1566</v>
      </c>
      <c r="D4" s="151" t="s">
        <v>1556</v>
      </c>
      <c r="E4" s="151" t="str">
        <f>IF(COUNTIF('plan büt trch'!A:A,'PLAN-BÜTÇE'!A4),"Var","Tercihi Gelmedi")</f>
        <v>Var</v>
      </c>
    </row>
    <row r="5" spans="1:5" ht="18.75">
      <c r="A5" s="149">
        <v>32</v>
      </c>
      <c r="B5" s="151" t="s">
        <v>1186</v>
      </c>
      <c r="C5" s="151" t="s">
        <v>1567</v>
      </c>
      <c r="D5" s="151" t="s">
        <v>1556</v>
      </c>
      <c r="E5" s="151" t="str">
        <f>IF(COUNTIF('plan büt trch'!A:A,'PLAN-BÜTÇE'!A5),"Var","Tercihi Gelmedi")</f>
        <v>Var</v>
      </c>
    </row>
    <row r="6" spans="1:5" ht="18.75">
      <c r="A6" s="149">
        <v>39</v>
      </c>
      <c r="B6" s="151" t="s">
        <v>1191</v>
      </c>
      <c r="C6" s="151" t="s">
        <v>1564</v>
      </c>
      <c r="D6" s="151" t="s">
        <v>1556</v>
      </c>
      <c r="E6" s="151" t="str">
        <f>IF(COUNTIF('plan büt trch'!A:A,'PLAN-BÜTÇE'!A6),"Var","Tercihi Gelmedi")</f>
        <v>Var</v>
      </c>
    </row>
    <row r="7" spans="1:5" ht="18.75">
      <c r="A7" s="149">
        <v>78</v>
      </c>
      <c r="B7" s="151" t="s">
        <v>1218</v>
      </c>
      <c r="C7" s="151" t="s">
        <v>1557</v>
      </c>
      <c r="D7" s="151" t="s">
        <v>1556</v>
      </c>
      <c r="E7" s="151" t="str">
        <f>IF(COUNTIF('plan büt trch'!A:A,'PLAN-BÜTÇE'!A7),"Var","Tercihi Gelmedi")</f>
        <v>Var</v>
      </c>
    </row>
    <row r="8" spans="1:5" ht="18.75">
      <c r="A8" s="149">
        <v>86</v>
      </c>
      <c r="B8" s="151" t="s">
        <v>1224</v>
      </c>
      <c r="C8" s="151" t="s">
        <v>1558</v>
      </c>
      <c r="D8" s="151" t="s">
        <v>1556</v>
      </c>
      <c r="E8" s="151" t="str">
        <f>IF(COUNTIF('plan büt trch'!A:A,'PLAN-BÜTÇE'!A8),"Var","Tercihi Gelmedi")</f>
        <v>Var</v>
      </c>
    </row>
    <row r="9" spans="1:5" ht="18.75">
      <c r="A9" s="149">
        <v>96</v>
      </c>
      <c r="B9" s="151" t="s">
        <v>1231</v>
      </c>
      <c r="C9" s="151" t="s">
        <v>1559</v>
      </c>
      <c r="D9" s="151" t="s">
        <v>1556</v>
      </c>
      <c r="E9" s="151" t="str">
        <f>IF(COUNTIF('plan büt trch'!A:A,'PLAN-BÜTÇE'!A9),"Var","Tercihi Gelmedi")</f>
        <v>Var</v>
      </c>
    </row>
    <row r="10" spans="1:5" ht="18.75">
      <c r="A10" s="149">
        <v>109</v>
      </c>
      <c r="B10" s="151" t="s">
        <v>1241</v>
      </c>
      <c r="C10" s="151" t="s">
        <v>1560</v>
      </c>
      <c r="D10" s="151" t="s">
        <v>1556</v>
      </c>
      <c r="E10" s="151" t="str">
        <f>IF(COUNTIF('plan büt trch'!A:A,'PLAN-BÜTÇE'!A10),"Var","Tercihi Gelmedi")</f>
        <v>Var</v>
      </c>
    </row>
    <row r="11" spans="1:5" ht="18.75">
      <c r="A11" s="149">
        <v>277</v>
      </c>
      <c r="B11" s="151" t="s">
        <v>1341</v>
      </c>
      <c r="C11" s="151" t="s">
        <v>1563</v>
      </c>
      <c r="D11" s="151" t="s">
        <v>1556</v>
      </c>
      <c r="E11" s="151" t="str">
        <f>IF(COUNTIF('plan büt trch'!A:A,'PLAN-BÜTÇE'!A11),"Var","Tercihi Gelmedi")</f>
        <v>Var</v>
      </c>
    </row>
    <row r="12" spans="1:5" ht="18.75">
      <c r="A12" s="149">
        <v>65</v>
      </c>
      <c r="B12" s="151" t="s">
        <v>1467</v>
      </c>
      <c r="C12" s="151" t="s">
        <v>1555</v>
      </c>
      <c r="D12" s="151" t="s">
        <v>1556</v>
      </c>
      <c r="E12" s="151" t="str">
        <f>IF(COUNTIF('plan büt trch'!A:A,'PLAN-BÜTÇE'!A12),"Var","Tercihi Gelmedi")</f>
        <v>Var</v>
      </c>
    </row>
    <row r="13" spans="1:5" ht="18.75">
      <c r="A13" s="149">
        <v>104</v>
      </c>
      <c r="B13" s="151" t="s">
        <v>1417</v>
      </c>
      <c r="C13" s="151" t="s">
        <v>1551</v>
      </c>
      <c r="D13" s="151" t="s">
        <v>1552</v>
      </c>
      <c r="E13" s="151" t="str">
        <f>IF(COUNTIF('plan büt trch'!A:A,'PLAN-BÜTÇE'!A13),"Var","Tercihi Gelmedi")</f>
        <v>Tercihi Gelmedi</v>
      </c>
    </row>
    <row r="14" spans="1:5" ht="18.75">
      <c r="A14" s="149">
        <v>160</v>
      </c>
      <c r="B14" s="151" t="s">
        <v>1268</v>
      </c>
      <c r="C14" s="151" t="s">
        <v>1553</v>
      </c>
      <c r="D14" s="151" t="s">
        <v>1554</v>
      </c>
      <c r="E14" s="151" t="str">
        <f>IF(COUNTIF('plan büt trch'!A:A,'PLAN-BÜTÇE'!A14),"Var","Tercihi Gelmedi")</f>
        <v>Tercihi Gelmedi</v>
      </c>
    </row>
    <row r="15" spans="1:5" ht="18.75">
      <c r="A15" s="149">
        <v>167</v>
      </c>
      <c r="B15" s="151" t="s">
        <v>1273</v>
      </c>
      <c r="C15" s="151" t="s">
        <v>1561</v>
      </c>
      <c r="D15" s="151" t="s">
        <v>1556</v>
      </c>
      <c r="E15" s="151" t="str">
        <f>IF(COUNTIF('plan büt trch'!A:A,'PLAN-BÜTÇE'!A15),"Var","Tercihi Gelmedi")</f>
        <v>Var</v>
      </c>
    </row>
    <row r="16" spans="1:5" ht="18.75">
      <c r="A16" s="149">
        <v>220</v>
      </c>
      <c r="B16" s="151" t="s">
        <v>1519</v>
      </c>
      <c r="C16" s="151" t="s">
        <v>1562</v>
      </c>
      <c r="D16" s="151" t="s">
        <v>1556</v>
      </c>
      <c r="E16" s="151" t="str">
        <f>IF(COUNTIF('plan büt trch'!A:A,'PLAN-BÜTÇE'!A16),"Var","Tercihi Gelmedi")</f>
        <v>Tercihi Gelmedi</v>
      </c>
    </row>
    <row r="17" spans="1:5" ht="18.75">
      <c r="A17" s="149">
        <v>280</v>
      </c>
      <c r="B17" s="151" t="s">
        <v>1343</v>
      </c>
      <c r="C17" s="151" t="s">
        <v>1565</v>
      </c>
      <c r="D17" s="151" t="s">
        <v>1556</v>
      </c>
      <c r="E17" s="151" t="str">
        <f>IF(COUNTIF('plan büt trch'!A:A,'PLAN-BÜTÇE'!A17),"Var","Tercihi Gelmedi")</f>
        <v>Var</v>
      </c>
    </row>
  </sheetData>
  <sortState ref="A3:E17">
    <sortCondition ref="E3:E17"/>
    <sortCondition ref="A3:A17"/>
  </sortState>
  <mergeCells count="1">
    <mergeCell ref="B1:E1"/>
  </mergeCells>
  <pageMargins left="0.7" right="0.7" top="0.75" bottom="0.75" header="0.3" footer="0.3"/>
  <pageSetup paperSize="11" scale="91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>
    <tabColor rgb="FFFFFF00"/>
  </sheetPr>
  <dimension ref="A1:B6"/>
  <sheetViews>
    <sheetView view="pageBreakPreview" zoomScale="130" zoomScaleNormal="100" zoomScaleSheetLayoutView="130" workbookViewId="0">
      <selection activeCell="B12" sqref="B12"/>
    </sheetView>
  </sheetViews>
  <sheetFormatPr defaultRowHeight="15.75"/>
  <cols>
    <col min="1" max="1" width="8.28515625" style="34" customWidth="1"/>
    <col min="2" max="2" width="62.28515625" style="34" customWidth="1"/>
    <col min="3" max="16384" width="9.140625" style="34"/>
  </cols>
  <sheetData>
    <row r="1" spans="1:2" ht="27.75" customHeight="1">
      <c r="A1" s="183" t="s">
        <v>612</v>
      </c>
      <c r="B1" s="183"/>
    </row>
    <row r="2" spans="1:2" ht="37.5" customHeight="1">
      <c r="A2" s="57" t="s">
        <v>610</v>
      </c>
      <c r="B2" s="58" t="s">
        <v>609</v>
      </c>
    </row>
    <row r="3" spans="1:2">
      <c r="A3" s="118">
        <v>14</v>
      </c>
      <c r="B3" s="32" t="s">
        <v>542</v>
      </c>
    </row>
    <row r="4" spans="1:2">
      <c r="A4" s="118">
        <v>40</v>
      </c>
      <c r="B4" s="32" t="s">
        <v>526</v>
      </c>
    </row>
    <row r="5" spans="1:2">
      <c r="A5" s="118">
        <v>71</v>
      </c>
      <c r="B5" s="32" t="s">
        <v>536</v>
      </c>
    </row>
    <row r="6" spans="1:2">
      <c r="A6" s="118">
        <v>91</v>
      </c>
      <c r="B6" s="32" t="s">
        <v>530</v>
      </c>
    </row>
  </sheetData>
  <mergeCells count="1">
    <mergeCell ref="A1:B1"/>
  </mergeCells>
  <pageMargins left="1.19" right="0.70866141732283472" top="1.07" bottom="0.74803149606299213" header="0.31496062992125984" footer="0.31496062992125984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0" tint="-0.249977111117893"/>
  </sheetPr>
  <dimension ref="A1:H291"/>
  <sheetViews>
    <sheetView showZeros="0" view="pageBreakPreview" zoomScale="130" zoomScaleNormal="100" zoomScaleSheetLayoutView="130" workbookViewId="0">
      <pane ySplit="2" topLeftCell="A140" activePane="bottomLeft" state="frozenSplit"/>
      <selection pane="bottomLeft" activeCell="C179" sqref="C179"/>
    </sheetView>
  </sheetViews>
  <sheetFormatPr defaultRowHeight="15.75"/>
  <cols>
    <col min="1" max="1" width="5.28515625" style="45" bestFit="1" customWidth="1"/>
    <col min="2" max="2" width="19" style="33" bestFit="1" customWidth="1"/>
    <col min="3" max="3" width="22.28515625" style="33" bestFit="1" customWidth="1"/>
    <col min="4" max="4" width="21" style="33" bestFit="1" customWidth="1"/>
    <col min="5" max="5" width="17.42578125" style="33" customWidth="1"/>
    <col min="6" max="6" width="22.140625" style="33" bestFit="1" customWidth="1"/>
    <col min="7" max="7" width="14.7109375" style="47" bestFit="1" customWidth="1"/>
    <col min="8" max="8" width="14.85546875" style="46" hidden="1" customWidth="1"/>
    <col min="9" max="16384" width="9.140625" style="34"/>
  </cols>
  <sheetData>
    <row r="1" spans="1:8" ht="18.75">
      <c r="B1" s="182" t="s">
        <v>1169</v>
      </c>
      <c r="C1" s="182"/>
      <c r="D1" s="182"/>
      <c r="E1" s="182"/>
    </row>
    <row r="2" spans="1:8">
      <c r="A2" s="48" t="s">
        <v>1137</v>
      </c>
      <c r="B2" s="48" t="s">
        <v>0</v>
      </c>
      <c r="C2" s="48" t="s">
        <v>1</v>
      </c>
      <c r="D2" s="48" t="s">
        <v>1168</v>
      </c>
      <c r="E2" s="48"/>
      <c r="F2" s="48" t="s">
        <v>1138</v>
      </c>
      <c r="G2" s="48" t="s">
        <v>1038</v>
      </c>
      <c r="H2" s="48" t="s">
        <v>1152</v>
      </c>
    </row>
    <row r="3" spans="1:8">
      <c r="A3" s="44">
        <v>1</v>
      </c>
      <c r="B3" s="59" t="s">
        <v>11</v>
      </c>
      <c r="C3" s="59" t="s">
        <v>242</v>
      </c>
      <c r="D3" s="59" t="s">
        <v>243</v>
      </c>
      <c r="E3" s="59" t="str">
        <f>IF(COUNTIF('Giriş Sayfası'!A:A,'TERCİH kontrol'!A3),"Tercihi Var","Tercihi Yok")</f>
        <v>Tercihi Var</v>
      </c>
      <c r="F3" s="10" t="s">
        <v>1153</v>
      </c>
      <c r="G3" s="10"/>
      <c r="H3" s="49" t="s">
        <v>382</v>
      </c>
    </row>
    <row r="4" spans="1:8">
      <c r="A4" s="44">
        <v>2</v>
      </c>
      <c r="B4" s="59" t="s">
        <v>11</v>
      </c>
      <c r="C4" s="59" t="s">
        <v>616</v>
      </c>
      <c r="D4" s="59" t="s">
        <v>131</v>
      </c>
      <c r="E4" s="59" t="str">
        <f>IF(COUNTIF('Giriş Sayfası'!A:A,'TERCİH kontrol'!A4),"Tercihi Var","Tercihi Yok")</f>
        <v>Tercihi Var</v>
      </c>
      <c r="F4" s="10"/>
      <c r="G4" s="10"/>
      <c r="H4" s="49" t="s">
        <v>617</v>
      </c>
    </row>
    <row r="5" spans="1:8" hidden="1">
      <c r="A5" s="44">
        <v>3</v>
      </c>
      <c r="B5" s="62" t="s">
        <v>11</v>
      </c>
      <c r="C5" s="62" t="s">
        <v>173</v>
      </c>
      <c r="D5" s="62" t="s">
        <v>174</v>
      </c>
      <c r="E5" s="62" t="str">
        <f>IF(COUNTIF('Giriş Sayfası'!A:A,'TERCİH kontrol'!A5),"Tercihi Var","Tercihi Yok")</f>
        <v>Tercihi Yok</v>
      </c>
      <c r="F5" s="10"/>
      <c r="G5" s="10"/>
      <c r="H5" s="49" t="s">
        <v>383</v>
      </c>
    </row>
    <row r="6" spans="1:8" hidden="1">
      <c r="A6" s="44">
        <v>4</v>
      </c>
      <c r="B6" s="62" t="s">
        <v>11</v>
      </c>
      <c r="C6" s="62" t="s">
        <v>250</v>
      </c>
      <c r="D6" s="62" t="s">
        <v>251</v>
      </c>
      <c r="E6" s="62" t="str">
        <f>IF(COUNTIF('Giriş Sayfası'!A:A,'TERCİH kontrol'!A6),"Tercihi Var","Tercihi Yok")</f>
        <v>Tercihi Yok</v>
      </c>
      <c r="F6" s="10" t="s">
        <v>1154</v>
      </c>
      <c r="G6" s="10" t="s">
        <v>1038</v>
      </c>
      <c r="H6" s="49" t="s">
        <v>618</v>
      </c>
    </row>
    <row r="7" spans="1:8">
      <c r="A7" s="44">
        <v>5</v>
      </c>
      <c r="B7" s="59" t="s">
        <v>11</v>
      </c>
      <c r="C7" s="59" t="s">
        <v>619</v>
      </c>
      <c r="D7" s="59" t="s">
        <v>16</v>
      </c>
      <c r="E7" s="59" t="str">
        <f>IF(COUNTIF('Giriş Sayfası'!A:A,'TERCİH kontrol'!A7),"Tercihi Var","Tercihi Yok")</f>
        <v>Tercihi Var</v>
      </c>
      <c r="F7" s="10"/>
      <c r="G7" s="10"/>
      <c r="H7" s="49" t="s">
        <v>620</v>
      </c>
    </row>
    <row r="8" spans="1:8" hidden="1">
      <c r="A8" s="44">
        <v>6</v>
      </c>
      <c r="B8" s="62" t="s">
        <v>14</v>
      </c>
      <c r="C8" s="62" t="s">
        <v>15</v>
      </c>
      <c r="D8" s="62" t="s">
        <v>16</v>
      </c>
      <c r="E8" s="62" t="str">
        <f>IF(COUNTIF('Giriş Sayfası'!A:A,'TERCİH kontrol'!A8),"Tercihi Var","Tercihi Yok")</f>
        <v>Tercihi Yok</v>
      </c>
      <c r="F8" s="10"/>
      <c r="G8" s="10" t="s">
        <v>1040</v>
      </c>
      <c r="H8" s="49" t="s">
        <v>384</v>
      </c>
    </row>
    <row r="9" spans="1:8">
      <c r="A9" s="44">
        <v>7</v>
      </c>
      <c r="B9" s="59" t="s">
        <v>14</v>
      </c>
      <c r="C9" s="59" t="s">
        <v>240</v>
      </c>
      <c r="D9" s="59" t="s">
        <v>199</v>
      </c>
      <c r="E9" s="59" t="str">
        <f>IF(COUNTIF('Giriş Sayfası'!A:A,'TERCİH kontrol'!A9),"Tercihi Var","Tercihi Yok")</f>
        <v>Tercihi Var</v>
      </c>
      <c r="F9" s="10" t="s">
        <v>1153</v>
      </c>
      <c r="G9" s="10"/>
      <c r="H9" s="49" t="s">
        <v>385</v>
      </c>
    </row>
    <row r="10" spans="1:8" hidden="1">
      <c r="A10" s="44">
        <v>8</v>
      </c>
      <c r="B10" s="62" t="s">
        <v>14</v>
      </c>
      <c r="C10" s="62" t="s">
        <v>621</v>
      </c>
      <c r="D10" s="62" t="s">
        <v>622</v>
      </c>
      <c r="E10" s="62" t="str">
        <f>IF(COUNTIF('Giriş Sayfası'!A:A,'TERCİH kontrol'!A10),"Tercihi Var","Tercihi Yok")</f>
        <v>Tercihi Yok</v>
      </c>
      <c r="F10" s="10"/>
      <c r="G10" s="10"/>
      <c r="H10" s="49" t="s">
        <v>623</v>
      </c>
    </row>
    <row r="11" spans="1:8" hidden="1">
      <c r="A11" s="44">
        <v>9</v>
      </c>
      <c r="B11" s="62" t="s">
        <v>14</v>
      </c>
      <c r="C11" s="62" t="s">
        <v>624</v>
      </c>
      <c r="D11" s="62" t="s">
        <v>625</v>
      </c>
      <c r="E11" s="62" t="str">
        <f>IF(COUNTIF('Giriş Sayfası'!A:A,'TERCİH kontrol'!A11),"Tercihi Var","Tercihi Yok")</f>
        <v>Tercihi Yok</v>
      </c>
      <c r="F11" s="10"/>
      <c r="G11" s="10"/>
      <c r="H11" s="49" t="s">
        <v>626</v>
      </c>
    </row>
    <row r="12" spans="1:8" hidden="1">
      <c r="A12" s="44">
        <v>10</v>
      </c>
      <c r="B12" s="62" t="s">
        <v>19</v>
      </c>
      <c r="C12" s="62" t="s">
        <v>21</v>
      </c>
      <c r="D12" s="62" t="s">
        <v>22</v>
      </c>
      <c r="E12" s="62" t="str">
        <f>IF(COUNTIF('Giriş Sayfası'!A:A,'TERCİH kontrol'!A12),"Tercihi Var","Tercihi Yok")</f>
        <v>Tercihi Yok</v>
      </c>
      <c r="F12" s="10"/>
      <c r="G12" s="10"/>
      <c r="H12" s="49" t="s">
        <v>386</v>
      </c>
    </row>
    <row r="13" spans="1:8" hidden="1">
      <c r="A13" s="44">
        <v>11</v>
      </c>
      <c r="B13" s="62" t="s">
        <v>19</v>
      </c>
      <c r="C13" s="62" t="s">
        <v>244</v>
      </c>
      <c r="D13" s="62" t="s">
        <v>13</v>
      </c>
      <c r="E13" s="62" t="str">
        <f>IF(COUNTIF('Giriş Sayfası'!A:A,'TERCİH kontrol'!A13),"Tercihi Var","Tercihi Yok")</f>
        <v>Tercihi Yok</v>
      </c>
      <c r="F13" s="10"/>
      <c r="G13" s="10" t="s">
        <v>1040</v>
      </c>
      <c r="H13" s="49" t="s">
        <v>387</v>
      </c>
    </row>
    <row r="14" spans="1:8">
      <c r="A14" s="44">
        <v>12</v>
      </c>
      <c r="B14" s="59" t="s">
        <v>19</v>
      </c>
      <c r="C14" s="59" t="s">
        <v>627</v>
      </c>
      <c r="D14" s="59" t="s">
        <v>90</v>
      </c>
      <c r="E14" s="59" t="str">
        <f>IF(COUNTIF('Giriş Sayfası'!A:A,'TERCİH kontrol'!A14),"Tercihi Var","Tercihi Yok")</f>
        <v>Tercihi Var</v>
      </c>
      <c r="F14" s="10"/>
      <c r="G14" s="10"/>
      <c r="H14" s="49" t="s">
        <v>628</v>
      </c>
    </row>
    <row r="15" spans="1:8">
      <c r="A15" s="44">
        <v>13</v>
      </c>
      <c r="B15" s="59" t="s">
        <v>23</v>
      </c>
      <c r="C15" s="59" t="s">
        <v>629</v>
      </c>
      <c r="D15" s="59" t="s">
        <v>175</v>
      </c>
      <c r="E15" s="59" t="str">
        <f>IF(COUNTIF('Giriş Sayfası'!A:A,'TERCİH kontrol'!A15),"Tercihi Var","Tercihi Yok")</f>
        <v>Tercihi Var</v>
      </c>
      <c r="F15" s="10"/>
      <c r="G15" s="10"/>
      <c r="H15" s="49" t="s">
        <v>630</v>
      </c>
    </row>
    <row r="16" spans="1:8" hidden="1">
      <c r="A16" s="44">
        <v>14</v>
      </c>
      <c r="B16" s="62" t="s">
        <v>26</v>
      </c>
      <c r="C16" s="62" t="s">
        <v>245</v>
      </c>
      <c r="D16" s="62" t="s">
        <v>193</v>
      </c>
      <c r="E16" s="62" t="str">
        <f>IF(COUNTIF('Giriş Sayfası'!A:A,'TERCİH kontrol'!A16),"Tercihi Var","Tercihi Yok")</f>
        <v>Tercihi Yok</v>
      </c>
      <c r="F16" s="10"/>
      <c r="G16" s="10"/>
      <c r="H16" s="49" t="s">
        <v>388</v>
      </c>
    </row>
    <row r="17" spans="1:8" hidden="1">
      <c r="A17" s="44">
        <v>15</v>
      </c>
      <c r="B17" s="62" t="s">
        <v>26</v>
      </c>
      <c r="C17" s="62" t="s">
        <v>28</v>
      </c>
      <c r="D17" s="62" t="s">
        <v>29</v>
      </c>
      <c r="E17" s="62" t="str">
        <f>IF(COUNTIF('Giriş Sayfası'!A:A,'TERCİH kontrol'!A17),"Tercihi Var","Tercihi Yok")</f>
        <v>Tercihi Yok</v>
      </c>
      <c r="F17" s="10"/>
      <c r="G17" s="10"/>
      <c r="H17" s="49" t="s">
        <v>389</v>
      </c>
    </row>
    <row r="18" spans="1:8">
      <c r="A18" s="44">
        <v>16</v>
      </c>
      <c r="B18" s="59" t="s">
        <v>30</v>
      </c>
      <c r="C18" s="59" t="s">
        <v>631</v>
      </c>
      <c r="D18" s="59" t="s">
        <v>120</v>
      </c>
      <c r="E18" s="59" t="str">
        <f>IF(COUNTIF('Giriş Sayfası'!A:A,'TERCİH kontrol'!A18),"Tercihi Var","Tercihi Yok")</f>
        <v>Tercihi Var</v>
      </c>
      <c r="F18" s="10" t="s">
        <v>1153</v>
      </c>
      <c r="G18" s="10"/>
      <c r="H18" s="49" t="s">
        <v>632</v>
      </c>
    </row>
    <row r="19" spans="1:8">
      <c r="A19" s="44">
        <v>17</v>
      </c>
      <c r="B19" s="59" t="s">
        <v>30</v>
      </c>
      <c r="C19" s="59" t="s">
        <v>633</v>
      </c>
      <c r="D19" s="59" t="s">
        <v>634</v>
      </c>
      <c r="E19" s="59" t="str">
        <f>IF(COUNTIF('Giriş Sayfası'!A:A,'TERCİH kontrol'!A19),"Tercihi Var","Tercihi Yok")</f>
        <v>Tercihi Var</v>
      </c>
      <c r="F19" s="10"/>
      <c r="G19" s="10"/>
      <c r="H19" s="49" t="s">
        <v>635</v>
      </c>
    </row>
    <row r="20" spans="1:8" hidden="1">
      <c r="A20" s="44">
        <v>18</v>
      </c>
      <c r="B20" s="62" t="s">
        <v>31</v>
      </c>
      <c r="C20" s="62" t="s">
        <v>178</v>
      </c>
      <c r="D20" s="62" t="s">
        <v>179</v>
      </c>
      <c r="E20" s="62" t="str">
        <f>IF(COUNTIF('Giriş Sayfası'!A:A,'TERCİH kontrol'!A20),"Tercihi Var","Tercihi Yok")</f>
        <v>Tercihi Yok</v>
      </c>
      <c r="F20" s="10"/>
      <c r="G20" s="10" t="s">
        <v>1048</v>
      </c>
      <c r="H20" s="49" t="s">
        <v>636</v>
      </c>
    </row>
    <row r="21" spans="1:8" hidden="1">
      <c r="A21" s="44">
        <v>19</v>
      </c>
      <c r="B21" s="62" t="s">
        <v>31</v>
      </c>
      <c r="C21" s="62" t="s">
        <v>75</v>
      </c>
      <c r="D21" s="62" t="s">
        <v>79</v>
      </c>
      <c r="E21" s="62" t="str">
        <f>IF(COUNTIF('Giriş Sayfası'!A:A,'TERCİH kontrol'!A21),"Tercihi Var","Tercihi Yok")</f>
        <v>Tercihi Yok</v>
      </c>
      <c r="F21" s="10"/>
      <c r="G21" s="10"/>
      <c r="H21" s="49" t="s">
        <v>391</v>
      </c>
    </row>
    <row r="22" spans="1:8" hidden="1">
      <c r="A22" s="44">
        <v>20</v>
      </c>
      <c r="B22" s="62" t="s">
        <v>31</v>
      </c>
      <c r="C22" s="62" t="s">
        <v>15</v>
      </c>
      <c r="D22" s="62" t="s">
        <v>637</v>
      </c>
      <c r="E22" s="62" t="str">
        <f>IF(COUNTIF('Giriş Sayfası'!A:A,'TERCİH kontrol'!A22),"Tercihi Var","Tercihi Yok")</f>
        <v>Tercihi Yok</v>
      </c>
      <c r="F22" s="10"/>
      <c r="G22" s="10"/>
      <c r="H22" s="49" t="s">
        <v>638</v>
      </c>
    </row>
    <row r="23" spans="1:8" hidden="1">
      <c r="A23" s="44">
        <v>21</v>
      </c>
      <c r="B23" s="62" t="s">
        <v>31</v>
      </c>
      <c r="C23" s="62" t="s">
        <v>176</v>
      </c>
      <c r="D23" s="62" t="s">
        <v>177</v>
      </c>
      <c r="E23" s="62" t="str">
        <f>IF(COUNTIF('Giriş Sayfası'!A:A,'TERCİH kontrol'!A23),"Tercihi Var","Tercihi Yok")</f>
        <v>Tercihi Yok</v>
      </c>
      <c r="F23" s="10" t="s">
        <v>1155</v>
      </c>
      <c r="G23" s="10"/>
      <c r="H23" s="49" t="s">
        <v>390</v>
      </c>
    </row>
    <row r="24" spans="1:8">
      <c r="A24" s="44">
        <v>22</v>
      </c>
      <c r="B24" s="59" t="s">
        <v>31</v>
      </c>
      <c r="C24" s="59" t="s">
        <v>246</v>
      </c>
      <c r="D24" s="59" t="s">
        <v>113</v>
      </c>
      <c r="E24" s="59" t="str">
        <f>IF(COUNTIF('Giriş Sayfası'!A:A,'TERCİH kontrol'!A24),"Tercihi Var","Tercihi Yok")</f>
        <v>Tercihi Var</v>
      </c>
      <c r="F24" s="10"/>
      <c r="G24" s="10"/>
      <c r="H24" s="49" t="s">
        <v>392</v>
      </c>
    </row>
    <row r="25" spans="1:8" hidden="1">
      <c r="A25" s="44">
        <v>23</v>
      </c>
      <c r="B25" s="62" t="s">
        <v>31</v>
      </c>
      <c r="C25" s="62" t="s">
        <v>247</v>
      </c>
      <c r="D25" s="62" t="s">
        <v>248</v>
      </c>
      <c r="E25" s="62" t="str">
        <f>IF(COUNTIF('Giriş Sayfası'!A:A,'TERCİH kontrol'!A25),"Tercihi Var","Tercihi Yok")</f>
        <v>Tercihi Yok</v>
      </c>
      <c r="F25" s="10" t="s">
        <v>1154</v>
      </c>
      <c r="G25" s="10" t="s">
        <v>1038</v>
      </c>
      <c r="H25" s="49" t="s">
        <v>393</v>
      </c>
    </row>
    <row r="26" spans="1:8">
      <c r="A26" s="44">
        <v>24</v>
      </c>
      <c r="B26" s="59" t="s">
        <v>31</v>
      </c>
      <c r="C26" s="59" t="s">
        <v>17</v>
      </c>
      <c r="D26" s="59" t="s">
        <v>639</v>
      </c>
      <c r="E26" s="59" t="str">
        <f>IF(COUNTIF('Giriş Sayfası'!A:A,'TERCİH kontrol'!A26),"Tercihi Var","Tercihi Yok")</f>
        <v>Tercihi Var</v>
      </c>
      <c r="F26" s="10" t="s">
        <v>1156</v>
      </c>
      <c r="G26" s="10"/>
      <c r="H26" s="49" t="s">
        <v>640</v>
      </c>
    </row>
    <row r="27" spans="1:8">
      <c r="A27" s="44">
        <v>25</v>
      </c>
      <c r="B27" s="59" t="s">
        <v>31</v>
      </c>
      <c r="C27" s="59" t="s">
        <v>180</v>
      </c>
      <c r="D27" s="59" t="s">
        <v>181</v>
      </c>
      <c r="E27" s="59" t="str">
        <f>IF(COUNTIF('Giriş Sayfası'!A:A,'TERCİH kontrol'!A27),"Tercihi Var","Tercihi Yok")</f>
        <v>Tercihi Var</v>
      </c>
      <c r="F27" s="10" t="s">
        <v>1157</v>
      </c>
      <c r="G27" s="10"/>
      <c r="H27" s="49" t="s">
        <v>394</v>
      </c>
    </row>
    <row r="28" spans="1:8">
      <c r="A28" s="44">
        <v>26</v>
      </c>
      <c r="B28" s="59" t="s">
        <v>31</v>
      </c>
      <c r="C28" s="59" t="s">
        <v>641</v>
      </c>
      <c r="D28" s="59" t="s">
        <v>642</v>
      </c>
      <c r="E28" s="59" t="str">
        <f>IF(COUNTIF('Giriş Sayfası'!A:A,'TERCİH kontrol'!A28),"Tercihi Var","Tercihi Yok")</f>
        <v>Tercihi Var</v>
      </c>
      <c r="F28" s="10"/>
      <c r="G28" s="10"/>
      <c r="H28" s="49" t="s">
        <v>643</v>
      </c>
    </row>
    <row r="29" spans="1:8" hidden="1">
      <c r="A29" s="44">
        <v>27</v>
      </c>
      <c r="B29" s="62" t="s">
        <v>31</v>
      </c>
      <c r="C29" s="62" t="s">
        <v>39</v>
      </c>
      <c r="D29" s="62" t="s">
        <v>60</v>
      </c>
      <c r="E29" s="62" t="str">
        <f>IF(COUNTIF('Giriş Sayfası'!A:A,'TERCİH kontrol'!A29),"Tercihi Var","Tercihi Yok")</f>
        <v>Tercihi Yok</v>
      </c>
      <c r="F29" s="10" t="s">
        <v>1154</v>
      </c>
      <c r="G29" s="10" t="s">
        <v>1038</v>
      </c>
      <c r="H29" s="49" t="s">
        <v>395</v>
      </c>
    </row>
    <row r="30" spans="1:8" hidden="1">
      <c r="A30" s="44">
        <v>28</v>
      </c>
      <c r="B30" s="62" t="s">
        <v>31</v>
      </c>
      <c r="C30" s="62" t="s">
        <v>217</v>
      </c>
      <c r="D30" s="62" t="s">
        <v>341</v>
      </c>
      <c r="E30" s="62" t="str">
        <f>IF(COUNTIF('Giriş Sayfası'!A:A,'TERCİH kontrol'!A30),"Tercihi Var","Tercihi Yok")</f>
        <v>Tercihi Yok</v>
      </c>
      <c r="F30" s="10"/>
      <c r="G30" s="10"/>
      <c r="H30" s="49" t="s">
        <v>644</v>
      </c>
    </row>
    <row r="31" spans="1:8" hidden="1">
      <c r="A31" s="44">
        <v>29</v>
      </c>
      <c r="B31" s="62" t="s">
        <v>31</v>
      </c>
      <c r="C31" s="62" t="s">
        <v>218</v>
      </c>
      <c r="D31" s="62" t="s">
        <v>252</v>
      </c>
      <c r="E31" s="62" t="str">
        <f>IF(COUNTIF('Giriş Sayfası'!A:A,'TERCİH kontrol'!A31),"Tercihi Var","Tercihi Yok")</f>
        <v>Tercihi Yok</v>
      </c>
      <c r="F31" s="10"/>
      <c r="G31" s="10"/>
      <c r="H31" s="49" t="s">
        <v>396</v>
      </c>
    </row>
    <row r="32" spans="1:8">
      <c r="A32" s="44">
        <v>30</v>
      </c>
      <c r="B32" s="59" t="s">
        <v>31</v>
      </c>
      <c r="C32" s="59" t="s">
        <v>645</v>
      </c>
      <c r="D32" s="59" t="s">
        <v>99</v>
      </c>
      <c r="E32" s="59" t="str">
        <f>IF(COUNTIF('Giriş Sayfası'!A:A,'TERCİH kontrol'!A32),"Tercihi Var","Tercihi Yok")</f>
        <v>Tercihi Var</v>
      </c>
      <c r="F32" s="10"/>
      <c r="G32" s="10"/>
      <c r="H32" s="49" t="s">
        <v>646</v>
      </c>
    </row>
    <row r="33" spans="1:8">
      <c r="A33" s="44">
        <v>31</v>
      </c>
      <c r="B33" s="59" t="s">
        <v>31</v>
      </c>
      <c r="C33" s="59" t="s">
        <v>126</v>
      </c>
      <c r="D33" s="59" t="s">
        <v>647</v>
      </c>
      <c r="E33" s="59" t="str">
        <f>IF(COUNTIF('Giriş Sayfası'!A:A,'TERCİH kontrol'!A33),"Tercihi Var","Tercihi Yok")</f>
        <v>Tercihi Var</v>
      </c>
      <c r="F33" s="10"/>
      <c r="G33" s="10"/>
      <c r="H33" s="49" t="s">
        <v>648</v>
      </c>
    </row>
    <row r="34" spans="1:8">
      <c r="A34" s="44">
        <v>32</v>
      </c>
      <c r="B34" s="59" t="s">
        <v>37</v>
      </c>
      <c r="C34" s="59" t="s">
        <v>15</v>
      </c>
      <c r="D34" s="59" t="s">
        <v>90</v>
      </c>
      <c r="E34" s="59" t="str">
        <f>IF(COUNTIF('Giriş Sayfası'!A:A,'TERCİH kontrol'!A34),"Tercihi Var","Tercihi Yok")</f>
        <v>Tercihi Var</v>
      </c>
      <c r="F34" s="10"/>
      <c r="G34" s="10"/>
      <c r="H34" s="49" t="s">
        <v>397</v>
      </c>
    </row>
    <row r="35" spans="1:8">
      <c r="A35" s="44">
        <v>33</v>
      </c>
      <c r="B35" s="59" t="s">
        <v>37</v>
      </c>
      <c r="C35" s="59" t="s">
        <v>12</v>
      </c>
      <c r="D35" s="59" t="s">
        <v>649</v>
      </c>
      <c r="E35" s="59" t="str">
        <f>IF(COUNTIF('Giriş Sayfası'!A:A,'TERCİH kontrol'!A35),"Tercihi Var","Tercihi Yok")</f>
        <v>Tercihi Var</v>
      </c>
      <c r="F35" s="10"/>
      <c r="G35" s="10"/>
      <c r="H35" s="49" t="s">
        <v>650</v>
      </c>
    </row>
    <row r="36" spans="1:8" hidden="1">
      <c r="A36" s="44">
        <v>34</v>
      </c>
      <c r="B36" s="62" t="s">
        <v>37</v>
      </c>
      <c r="C36" s="62" t="s">
        <v>12</v>
      </c>
      <c r="D36" s="62" t="s">
        <v>253</v>
      </c>
      <c r="E36" s="62" t="str">
        <f>IF(COUNTIF('Giriş Sayfası'!A:A,'TERCİH kontrol'!A36),"Tercihi Var","Tercihi Yok")</f>
        <v>Tercihi Yok</v>
      </c>
      <c r="F36" s="10"/>
      <c r="G36" s="10"/>
      <c r="H36" s="49" t="s">
        <v>398</v>
      </c>
    </row>
    <row r="37" spans="1:8">
      <c r="A37" s="44">
        <v>35</v>
      </c>
      <c r="B37" s="59" t="s">
        <v>37</v>
      </c>
      <c r="C37" s="59" t="s">
        <v>254</v>
      </c>
      <c r="D37" s="59" t="s">
        <v>100</v>
      </c>
      <c r="E37" s="59" t="str">
        <f>IF(COUNTIF('Giriş Sayfası'!A:A,'TERCİH kontrol'!A37),"Tercihi Var","Tercihi Yok")</f>
        <v>Tercihi Var</v>
      </c>
      <c r="F37" s="10"/>
      <c r="G37" s="10" t="s">
        <v>1056</v>
      </c>
      <c r="H37" s="49" t="s">
        <v>399</v>
      </c>
    </row>
    <row r="38" spans="1:8">
      <c r="A38" s="44">
        <v>36</v>
      </c>
      <c r="B38" s="59" t="s">
        <v>37</v>
      </c>
      <c r="C38" s="59" t="s">
        <v>166</v>
      </c>
      <c r="D38" s="59" t="s">
        <v>255</v>
      </c>
      <c r="E38" s="59" t="str">
        <f>IF(COUNTIF('Giriş Sayfası'!A:A,'TERCİH kontrol'!A38),"Tercihi Var","Tercihi Yok")</f>
        <v>Tercihi Var</v>
      </c>
      <c r="F38" s="10" t="s">
        <v>1156</v>
      </c>
      <c r="G38" s="10"/>
      <c r="H38" s="49" t="s">
        <v>400</v>
      </c>
    </row>
    <row r="39" spans="1:8">
      <c r="A39" s="44">
        <v>292</v>
      </c>
      <c r="B39" s="59" t="s">
        <v>37</v>
      </c>
      <c r="C39" s="59" t="s">
        <v>961</v>
      </c>
      <c r="D39" s="59" t="s">
        <v>962</v>
      </c>
      <c r="E39" s="59" t="str">
        <f>IF(COUNTIF('Giriş Sayfası'!A:A,'TERCİH kontrol'!A39),"Tercihi Var","Tercihi Yok")</f>
        <v>Tercihi Var</v>
      </c>
      <c r="F39" s="10"/>
      <c r="G39" s="10"/>
      <c r="H39" s="49" t="s">
        <v>965</v>
      </c>
    </row>
    <row r="40" spans="1:8" hidden="1">
      <c r="A40" s="44">
        <v>37</v>
      </c>
      <c r="B40" s="62" t="s">
        <v>41</v>
      </c>
      <c r="C40" s="62" t="s">
        <v>32</v>
      </c>
      <c r="D40" s="62" t="s">
        <v>99</v>
      </c>
      <c r="E40" s="62" t="str">
        <f>IF(COUNTIF('Giriş Sayfası'!A:A,'TERCİH kontrol'!A40),"Tercihi Var","Tercihi Yok")</f>
        <v>Tercihi Yok</v>
      </c>
      <c r="F40" s="10" t="s">
        <v>1156</v>
      </c>
      <c r="G40" s="10"/>
      <c r="H40" s="49" t="s">
        <v>401</v>
      </c>
    </row>
    <row r="41" spans="1:8">
      <c r="A41" s="44">
        <v>38</v>
      </c>
      <c r="B41" s="59" t="s">
        <v>42</v>
      </c>
      <c r="C41" s="59" t="s">
        <v>367</v>
      </c>
      <c r="D41" s="59" t="s">
        <v>651</v>
      </c>
      <c r="E41" s="59" t="str">
        <f>IF(COUNTIF('Giriş Sayfası'!A:A,'TERCİH kontrol'!A41),"Tercihi Var","Tercihi Yok")</f>
        <v>Tercihi Var</v>
      </c>
      <c r="F41" s="10"/>
      <c r="G41" s="10"/>
      <c r="H41" s="49" t="s">
        <v>652</v>
      </c>
    </row>
    <row r="42" spans="1:8">
      <c r="A42" s="44">
        <v>39</v>
      </c>
      <c r="B42" s="59" t="s">
        <v>15</v>
      </c>
      <c r="C42" s="59" t="s">
        <v>653</v>
      </c>
      <c r="D42" s="59" t="s">
        <v>654</v>
      </c>
      <c r="E42" s="59" t="str">
        <f>IF(COUNTIF('Giriş Sayfası'!A:A,'TERCİH kontrol'!A42),"Tercihi Var","Tercihi Yok")</f>
        <v>Tercihi Var</v>
      </c>
      <c r="F42" s="10"/>
      <c r="G42" s="10"/>
      <c r="H42" s="49" t="s">
        <v>655</v>
      </c>
    </row>
    <row r="43" spans="1:8">
      <c r="A43" s="44">
        <v>40</v>
      </c>
      <c r="B43" s="59" t="s">
        <v>15</v>
      </c>
      <c r="C43" s="59" t="s">
        <v>656</v>
      </c>
      <c r="D43" s="59" t="s">
        <v>657</v>
      </c>
      <c r="E43" s="59" t="str">
        <f>IF(COUNTIF('Giriş Sayfası'!A:A,'TERCİH kontrol'!A43),"Tercihi Var","Tercihi Yok")</f>
        <v>Tercihi Var</v>
      </c>
      <c r="F43" s="10"/>
      <c r="G43" s="10"/>
      <c r="H43" s="49" t="s">
        <v>658</v>
      </c>
    </row>
    <row r="44" spans="1:8" hidden="1">
      <c r="A44" s="44">
        <v>41</v>
      </c>
      <c r="B44" s="62" t="s">
        <v>15</v>
      </c>
      <c r="C44" s="62" t="s">
        <v>256</v>
      </c>
      <c r="D44" s="62" t="s">
        <v>100</v>
      </c>
      <c r="E44" s="62" t="str">
        <f>IF(COUNTIF('Giriş Sayfası'!A:A,'TERCİH kontrol'!A44),"Tercihi Var","Tercihi Yok")</f>
        <v>Tercihi Yok</v>
      </c>
      <c r="F44" s="10" t="s">
        <v>1157</v>
      </c>
      <c r="G44" s="10"/>
      <c r="H44" s="49" t="s">
        <v>402</v>
      </c>
    </row>
    <row r="45" spans="1:8">
      <c r="A45" s="44">
        <v>42</v>
      </c>
      <c r="B45" s="59" t="s">
        <v>15</v>
      </c>
      <c r="C45" s="59" t="s">
        <v>230</v>
      </c>
      <c r="D45" s="59" t="s">
        <v>61</v>
      </c>
      <c r="E45" s="59" t="str">
        <f>IF(COUNTIF('Giriş Sayfası'!A:A,'TERCİH kontrol'!A45),"Tercihi Var","Tercihi Yok")</f>
        <v>Tercihi Var</v>
      </c>
      <c r="F45" s="10"/>
      <c r="G45" s="10" t="s">
        <v>1056</v>
      </c>
      <c r="H45" s="49" t="s">
        <v>659</v>
      </c>
    </row>
    <row r="46" spans="1:8">
      <c r="A46" s="44">
        <v>43</v>
      </c>
      <c r="B46" s="59" t="s">
        <v>44</v>
      </c>
      <c r="C46" s="59" t="s">
        <v>24</v>
      </c>
      <c r="D46" s="59" t="s">
        <v>660</v>
      </c>
      <c r="E46" s="59" t="str">
        <f>IF(COUNTIF('Giriş Sayfası'!A:A,'TERCİH kontrol'!A46),"Tercihi Var","Tercihi Yok")</f>
        <v>Tercihi Var</v>
      </c>
      <c r="F46" s="10"/>
      <c r="G46" s="10"/>
      <c r="H46" s="49" t="s">
        <v>661</v>
      </c>
    </row>
    <row r="47" spans="1:8">
      <c r="A47" s="44">
        <v>44</v>
      </c>
      <c r="B47" s="59" t="s">
        <v>44</v>
      </c>
      <c r="C47" s="59" t="s">
        <v>662</v>
      </c>
      <c r="D47" s="59" t="s">
        <v>100</v>
      </c>
      <c r="E47" s="59" t="str">
        <f>IF(COUNTIF('Giriş Sayfası'!A:A,'TERCİH kontrol'!A47),"Tercihi Var","Tercihi Yok")</f>
        <v>Tercihi Var</v>
      </c>
      <c r="F47" s="10"/>
      <c r="G47" s="10"/>
      <c r="H47" s="49" t="s">
        <v>1142</v>
      </c>
    </row>
    <row r="48" spans="1:8">
      <c r="A48" s="44">
        <v>45</v>
      </c>
      <c r="B48" s="59" t="s">
        <v>44</v>
      </c>
      <c r="C48" s="59" t="s">
        <v>12</v>
      </c>
      <c r="D48" s="59" t="s">
        <v>664</v>
      </c>
      <c r="E48" s="59" t="str">
        <f>IF(COUNTIF('Giriş Sayfası'!A:A,'TERCİH kontrol'!A48),"Tercihi Var","Tercihi Yok")</f>
        <v>Tercihi Var</v>
      </c>
      <c r="F48" s="10"/>
      <c r="G48" s="10"/>
      <c r="H48" s="49" t="s">
        <v>665</v>
      </c>
    </row>
    <row r="49" spans="1:8">
      <c r="A49" s="44">
        <v>46</v>
      </c>
      <c r="B49" s="59" t="s">
        <v>44</v>
      </c>
      <c r="C49" s="59" t="s">
        <v>666</v>
      </c>
      <c r="D49" s="59" t="s">
        <v>667</v>
      </c>
      <c r="E49" s="59" t="str">
        <f>IF(COUNTIF('Giriş Sayfası'!A:A,'TERCİH kontrol'!A49),"Tercihi Var","Tercihi Yok")</f>
        <v>Tercihi Var</v>
      </c>
      <c r="F49" s="10"/>
      <c r="G49" s="10" t="s">
        <v>1056</v>
      </c>
      <c r="H49" s="49" t="s">
        <v>1143</v>
      </c>
    </row>
    <row r="50" spans="1:8">
      <c r="A50" s="44">
        <v>47</v>
      </c>
      <c r="B50" s="59" t="s">
        <v>44</v>
      </c>
      <c r="C50" s="59" t="s">
        <v>669</v>
      </c>
      <c r="D50" s="59" t="s">
        <v>670</v>
      </c>
      <c r="E50" s="59" t="str">
        <f>IF(COUNTIF('Giriş Sayfası'!A:A,'TERCİH kontrol'!A50),"Tercihi Var","Tercihi Yok")</f>
        <v>Tercihi Var</v>
      </c>
      <c r="F50" s="10"/>
      <c r="G50" s="10"/>
      <c r="H50" s="49" t="s">
        <v>671</v>
      </c>
    </row>
    <row r="51" spans="1:8" hidden="1">
      <c r="A51" s="44">
        <v>48</v>
      </c>
      <c r="B51" s="62" t="s">
        <v>47</v>
      </c>
      <c r="C51" s="62" t="s">
        <v>48</v>
      </c>
      <c r="D51" s="62" t="s">
        <v>49</v>
      </c>
      <c r="E51" s="62" t="str">
        <f>IF(COUNTIF('Giriş Sayfası'!A:A,'TERCİH kontrol'!A51),"Tercihi Var","Tercihi Yok")</f>
        <v>Tercihi Yok</v>
      </c>
      <c r="F51" s="10" t="s">
        <v>1157</v>
      </c>
      <c r="G51" s="10"/>
      <c r="H51" s="49" t="s">
        <v>403</v>
      </c>
    </row>
    <row r="52" spans="1:8">
      <c r="A52" s="44">
        <v>49</v>
      </c>
      <c r="B52" s="59" t="s">
        <v>50</v>
      </c>
      <c r="C52" s="59" t="s">
        <v>184</v>
      </c>
      <c r="D52" s="59" t="s">
        <v>672</v>
      </c>
      <c r="E52" s="59" t="str">
        <f>IF(COUNTIF('Giriş Sayfası'!A:A,'TERCİH kontrol'!A52),"Tercihi Var","Tercihi Yok")</f>
        <v>Tercihi Var</v>
      </c>
      <c r="F52" s="10"/>
      <c r="G52" s="10"/>
      <c r="H52" s="49" t="s">
        <v>673</v>
      </c>
    </row>
    <row r="53" spans="1:8">
      <c r="A53" s="44">
        <v>50</v>
      </c>
      <c r="B53" s="59" t="s">
        <v>52</v>
      </c>
      <c r="C53" s="59" t="s">
        <v>674</v>
      </c>
      <c r="D53" s="59" t="s">
        <v>675</v>
      </c>
      <c r="E53" s="59" t="str">
        <f>IF(COUNTIF('Giriş Sayfası'!A:A,'TERCİH kontrol'!A53),"Tercihi Var","Tercihi Yok")</f>
        <v>Tercihi Var</v>
      </c>
      <c r="F53" s="10"/>
      <c r="G53" s="10"/>
      <c r="H53" s="49" t="s">
        <v>676</v>
      </c>
    </row>
    <row r="54" spans="1:8">
      <c r="A54" s="44">
        <v>51</v>
      </c>
      <c r="B54" s="59" t="s">
        <v>53</v>
      </c>
      <c r="C54" s="59" t="s">
        <v>677</v>
      </c>
      <c r="D54" s="59" t="s">
        <v>359</v>
      </c>
      <c r="E54" s="59" t="str">
        <f>IF(COUNTIF('Giriş Sayfası'!A:A,'TERCİH kontrol'!A54),"Tercihi Var","Tercihi Yok")</f>
        <v>Tercihi Var</v>
      </c>
      <c r="F54" s="10"/>
      <c r="G54" s="10"/>
      <c r="H54" s="49" t="s">
        <v>678</v>
      </c>
    </row>
    <row r="55" spans="1:8" hidden="1">
      <c r="A55" s="44">
        <v>52</v>
      </c>
      <c r="B55" s="62" t="s">
        <v>54</v>
      </c>
      <c r="C55" s="62" t="s">
        <v>679</v>
      </c>
      <c r="D55" s="62" t="s">
        <v>680</v>
      </c>
      <c r="E55" s="62" t="str">
        <f>IF(COUNTIF('Giriş Sayfası'!A:A,'TERCİH kontrol'!A55),"Tercihi Var","Tercihi Yok")</f>
        <v>Tercihi Yok</v>
      </c>
      <c r="F55" s="10"/>
      <c r="G55" s="10"/>
      <c r="H55" s="49" t="s">
        <v>681</v>
      </c>
    </row>
    <row r="56" spans="1:8" hidden="1">
      <c r="A56" s="44">
        <v>53</v>
      </c>
      <c r="B56" s="62" t="s">
        <v>54</v>
      </c>
      <c r="C56" s="62" t="s">
        <v>56</v>
      </c>
      <c r="D56" s="62" t="s">
        <v>57</v>
      </c>
      <c r="E56" s="62" t="str">
        <f>IF(COUNTIF('Giriş Sayfası'!A:A,'TERCİH kontrol'!A56),"Tercihi Var","Tercihi Yok")</f>
        <v>Tercihi Yok</v>
      </c>
      <c r="F56" s="10" t="s">
        <v>1157</v>
      </c>
      <c r="G56" s="10" t="s">
        <v>1038</v>
      </c>
      <c r="H56" s="49" t="s">
        <v>404</v>
      </c>
    </row>
    <row r="57" spans="1:8" hidden="1">
      <c r="A57" s="44">
        <v>54</v>
      </c>
      <c r="B57" s="62" t="s">
        <v>58</v>
      </c>
      <c r="C57" s="62" t="s">
        <v>682</v>
      </c>
      <c r="D57" s="62" t="s">
        <v>683</v>
      </c>
      <c r="E57" s="62" t="str">
        <f>IF(COUNTIF('Giriş Sayfası'!A:A,'TERCİH kontrol'!A57),"Tercihi Var","Tercihi Yok")</f>
        <v>Tercihi Yok</v>
      </c>
      <c r="F57" s="10"/>
      <c r="G57" s="10"/>
      <c r="H57" s="49" t="s">
        <v>684</v>
      </c>
    </row>
    <row r="58" spans="1:8">
      <c r="A58" s="44">
        <v>55</v>
      </c>
      <c r="B58" s="59" t="s">
        <v>58</v>
      </c>
      <c r="C58" s="59" t="s">
        <v>685</v>
      </c>
      <c r="D58" s="59" t="s">
        <v>282</v>
      </c>
      <c r="E58" s="59" t="str">
        <f>IF(COUNTIF('Giriş Sayfası'!A:A,'TERCİH kontrol'!A58),"Tercihi Var","Tercihi Yok")</f>
        <v>Tercihi Var</v>
      </c>
      <c r="F58" s="10"/>
      <c r="G58" s="10" t="s">
        <v>1158</v>
      </c>
      <c r="H58" s="49" t="s">
        <v>686</v>
      </c>
    </row>
    <row r="59" spans="1:8">
      <c r="A59" s="44">
        <v>56</v>
      </c>
      <c r="B59" s="59" t="s">
        <v>59</v>
      </c>
      <c r="C59" s="59" t="s">
        <v>15</v>
      </c>
      <c r="D59" s="59" t="s">
        <v>687</v>
      </c>
      <c r="E59" s="59" t="str">
        <f>IF(COUNTIF('Giriş Sayfası'!A:A,'TERCİH kontrol'!A59),"Tercihi Var","Tercihi Yok")</f>
        <v>Tercihi Var</v>
      </c>
      <c r="F59" s="10"/>
      <c r="G59" s="10"/>
      <c r="H59" s="49" t="s">
        <v>688</v>
      </c>
    </row>
    <row r="60" spans="1:8">
      <c r="A60" s="44">
        <v>57</v>
      </c>
      <c r="B60" s="59" t="s">
        <v>59</v>
      </c>
      <c r="C60" s="59" t="s">
        <v>187</v>
      </c>
      <c r="D60" s="59" t="s">
        <v>188</v>
      </c>
      <c r="E60" s="59" t="str">
        <f>IF(COUNTIF('Giriş Sayfası'!A:A,'TERCİH kontrol'!A60),"Tercihi Var","Tercihi Yok")</f>
        <v>Tercihi Var</v>
      </c>
      <c r="F60" s="10"/>
      <c r="G60" s="10"/>
      <c r="H60" s="49" t="s">
        <v>406</v>
      </c>
    </row>
    <row r="61" spans="1:8">
      <c r="A61" s="44">
        <v>58</v>
      </c>
      <c r="B61" s="59" t="s">
        <v>62</v>
      </c>
      <c r="C61" s="59" t="s">
        <v>63</v>
      </c>
      <c r="D61" s="59" t="s">
        <v>64</v>
      </c>
      <c r="E61" s="59" t="str">
        <f>IF(COUNTIF('Giriş Sayfası'!A:A,'TERCİH kontrol'!A61),"Tercihi Var","Tercihi Yok")</f>
        <v>Tercihi Var</v>
      </c>
      <c r="F61" s="10" t="s">
        <v>1159</v>
      </c>
      <c r="G61" s="10"/>
      <c r="H61" s="49" t="s">
        <v>407</v>
      </c>
    </row>
    <row r="62" spans="1:8">
      <c r="A62" s="44">
        <v>59</v>
      </c>
      <c r="B62" s="59" t="s">
        <v>62</v>
      </c>
      <c r="C62" s="59" t="s">
        <v>689</v>
      </c>
      <c r="D62" s="59" t="s">
        <v>356</v>
      </c>
      <c r="E62" s="59" t="str">
        <f>IF(COUNTIF('Giriş Sayfası'!A:A,'TERCİH kontrol'!A62),"Tercihi Var","Tercihi Yok")</f>
        <v>Tercihi Var</v>
      </c>
      <c r="F62" s="10"/>
      <c r="G62" s="10"/>
      <c r="H62" s="49" t="s">
        <v>690</v>
      </c>
    </row>
    <row r="63" spans="1:8" hidden="1">
      <c r="A63" s="44">
        <v>60</v>
      </c>
      <c r="B63" s="62" t="s">
        <v>65</v>
      </c>
      <c r="C63" s="62" t="s">
        <v>257</v>
      </c>
      <c r="D63" s="62" t="s">
        <v>258</v>
      </c>
      <c r="E63" s="62" t="str">
        <f>IF(COUNTIF('Giriş Sayfası'!A:A,'TERCİH kontrol'!A63),"Tercihi Var","Tercihi Yok")</f>
        <v>Tercihi Yok</v>
      </c>
      <c r="F63" s="10" t="s">
        <v>1154</v>
      </c>
      <c r="G63" s="10" t="s">
        <v>1056</v>
      </c>
      <c r="H63" s="49" t="s">
        <v>408</v>
      </c>
    </row>
    <row r="64" spans="1:8">
      <c r="A64" s="44">
        <v>61</v>
      </c>
      <c r="B64" s="59" t="s">
        <v>65</v>
      </c>
      <c r="C64" s="59" t="s">
        <v>15</v>
      </c>
      <c r="D64" s="59" t="s">
        <v>259</v>
      </c>
      <c r="E64" s="59" t="str">
        <f>IF(COUNTIF('Giriş Sayfası'!A:A,'TERCİH kontrol'!A64),"Tercihi Var","Tercihi Yok")</f>
        <v>Tercihi Var</v>
      </c>
      <c r="F64" s="10"/>
      <c r="G64" s="10" t="s">
        <v>1158</v>
      </c>
      <c r="H64" s="49" t="s">
        <v>409</v>
      </c>
    </row>
    <row r="65" spans="1:8" hidden="1">
      <c r="A65" s="44">
        <v>62</v>
      </c>
      <c r="B65" s="62" t="s">
        <v>65</v>
      </c>
      <c r="C65" s="62" t="s">
        <v>38</v>
      </c>
      <c r="D65" s="62" t="s">
        <v>189</v>
      </c>
      <c r="E65" s="62" t="str">
        <f>IF(COUNTIF('Giriş Sayfası'!A:A,'TERCİH kontrol'!A65),"Tercihi Var","Tercihi Yok")</f>
        <v>Tercihi Yok</v>
      </c>
      <c r="F65" s="10" t="s">
        <v>1157</v>
      </c>
      <c r="G65" s="10"/>
      <c r="H65" s="49" t="s">
        <v>410</v>
      </c>
    </row>
    <row r="66" spans="1:8">
      <c r="A66" s="44">
        <v>63</v>
      </c>
      <c r="B66" s="59" t="s">
        <v>65</v>
      </c>
      <c r="C66" s="59" t="s">
        <v>691</v>
      </c>
      <c r="D66" s="59" t="s">
        <v>100</v>
      </c>
      <c r="E66" s="59" t="str">
        <f>IF(COUNTIF('Giriş Sayfası'!A:A,'TERCİH kontrol'!A66),"Tercihi Var","Tercihi Yok")</f>
        <v>Tercihi Var</v>
      </c>
      <c r="F66" s="10"/>
      <c r="G66" s="10"/>
      <c r="H66" s="49" t="s">
        <v>692</v>
      </c>
    </row>
    <row r="67" spans="1:8">
      <c r="A67" s="44">
        <v>64</v>
      </c>
      <c r="B67" s="59" t="s">
        <v>65</v>
      </c>
      <c r="C67" s="59" t="s">
        <v>134</v>
      </c>
      <c r="D67" s="59" t="s">
        <v>693</v>
      </c>
      <c r="E67" s="59" t="str">
        <f>IF(COUNTIF('Giriş Sayfası'!A:A,'TERCİH kontrol'!A67),"Tercihi Var","Tercihi Yok")</f>
        <v>Tercihi Var</v>
      </c>
      <c r="F67" s="10"/>
      <c r="G67" s="10"/>
      <c r="H67" s="49" t="s">
        <v>694</v>
      </c>
    </row>
    <row r="68" spans="1:8" hidden="1">
      <c r="A68" s="44">
        <v>65</v>
      </c>
      <c r="B68" s="62" t="s">
        <v>65</v>
      </c>
      <c r="C68" s="62" t="s">
        <v>155</v>
      </c>
      <c r="D68" s="62" t="s">
        <v>16</v>
      </c>
      <c r="E68" s="62" t="str">
        <f>IF(COUNTIF('Giriş Sayfası'!A:A,'TERCİH kontrol'!A68),"Tercihi Var","Tercihi Yok")</f>
        <v>Tercihi Var</v>
      </c>
      <c r="F68" s="10"/>
      <c r="G68" s="10" t="s">
        <v>1160</v>
      </c>
      <c r="H68" s="49" t="s">
        <v>695</v>
      </c>
    </row>
    <row r="69" spans="1:8">
      <c r="A69" s="44">
        <v>66</v>
      </c>
      <c r="B69" s="59" t="s">
        <v>65</v>
      </c>
      <c r="C69" s="59" t="s">
        <v>260</v>
      </c>
      <c r="D69" s="59" t="s">
        <v>76</v>
      </c>
      <c r="E69" s="59" t="str">
        <f>IF(COUNTIF('Giriş Sayfası'!A:A,'TERCİH kontrol'!A69),"Tercihi Var","Tercihi Yok")</f>
        <v>Tercihi Var</v>
      </c>
      <c r="F69" s="10"/>
      <c r="G69" s="10" t="s">
        <v>1040</v>
      </c>
      <c r="H69" s="49" t="s">
        <v>411</v>
      </c>
    </row>
    <row r="70" spans="1:8">
      <c r="A70" s="44">
        <v>67</v>
      </c>
      <c r="B70" s="59" t="s">
        <v>65</v>
      </c>
      <c r="C70" s="59" t="s">
        <v>696</v>
      </c>
      <c r="D70" s="59" t="s">
        <v>697</v>
      </c>
      <c r="E70" s="59" t="str">
        <f>IF(COUNTIF('Giriş Sayfası'!A:A,'TERCİH kontrol'!A70),"Tercihi Var","Tercihi Yok")</f>
        <v>Tercihi Var</v>
      </c>
      <c r="F70" s="10"/>
      <c r="G70" s="10"/>
      <c r="H70" s="49" t="s">
        <v>698</v>
      </c>
    </row>
    <row r="71" spans="1:8">
      <c r="A71" s="44">
        <v>68</v>
      </c>
      <c r="B71" s="59" t="s">
        <v>65</v>
      </c>
      <c r="C71" s="59" t="s">
        <v>699</v>
      </c>
      <c r="D71" s="59" t="s">
        <v>700</v>
      </c>
      <c r="E71" s="59" t="str">
        <f>IF(COUNTIF('Giriş Sayfası'!A:A,'TERCİH kontrol'!A71),"Tercihi Var","Tercihi Yok")</f>
        <v>Tercihi Var</v>
      </c>
      <c r="F71" s="10"/>
      <c r="G71" s="10"/>
      <c r="H71" s="49" t="s">
        <v>701</v>
      </c>
    </row>
    <row r="72" spans="1:8">
      <c r="A72" s="44">
        <v>69</v>
      </c>
      <c r="B72" s="59" t="s">
        <v>65</v>
      </c>
      <c r="C72" s="59" t="s">
        <v>261</v>
      </c>
      <c r="D72" s="59" t="s">
        <v>262</v>
      </c>
      <c r="E72" s="59" t="str">
        <f>IF(COUNTIF('Giriş Sayfası'!A:A,'TERCİH kontrol'!A72),"Tercihi Var","Tercihi Yok")</f>
        <v>Tercihi Var</v>
      </c>
      <c r="F72" s="10"/>
      <c r="G72" s="10"/>
      <c r="H72" s="49" t="s">
        <v>412</v>
      </c>
    </row>
    <row r="73" spans="1:8">
      <c r="A73" s="44">
        <v>70</v>
      </c>
      <c r="B73" s="59" t="s">
        <v>65</v>
      </c>
      <c r="C73" s="59" t="s">
        <v>702</v>
      </c>
      <c r="D73" s="59" t="s">
        <v>703</v>
      </c>
      <c r="E73" s="59" t="str">
        <f>IF(COUNTIF('Giriş Sayfası'!A:A,'TERCİH kontrol'!A73),"Tercihi Var","Tercihi Yok")</f>
        <v>Tercihi Var</v>
      </c>
      <c r="F73" s="10"/>
      <c r="G73" s="10"/>
      <c r="H73" s="49" t="s">
        <v>704</v>
      </c>
    </row>
    <row r="74" spans="1:8">
      <c r="A74" s="44">
        <v>71</v>
      </c>
      <c r="B74" s="59" t="s">
        <v>66</v>
      </c>
      <c r="C74" s="59" t="s">
        <v>705</v>
      </c>
      <c r="D74" s="59" t="s">
        <v>251</v>
      </c>
      <c r="E74" s="59" t="str">
        <f>IF(COUNTIF('Giriş Sayfası'!A:A,'TERCİH kontrol'!A74),"Tercihi Var","Tercihi Yok")</f>
        <v>Tercihi Var</v>
      </c>
      <c r="F74" s="10"/>
      <c r="G74" s="10"/>
      <c r="H74" s="49" t="s">
        <v>706</v>
      </c>
    </row>
    <row r="75" spans="1:8" hidden="1">
      <c r="A75" s="44">
        <v>72</v>
      </c>
      <c r="B75" s="62" t="s">
        <v>66</v>
      </c>
      <c r="C75" s="62" t="s">
        <v>217</v>
      </c>
      <c r="D75" s="62" t="s">
        <v>34</v>
      </c>
      <c r="E75" s="62" t="str">
        <f>IF(COUNTIF('Giriş Sayfası'!A:A,'TERCİH kontrol'!A75),"Tercihi Var","Tercihi Yok")</f>
        <v>Tercihi Yok</v>
      </c>
      <c r="F75" s="10" t="s">
        <v>1161</v>
      </c>
      <c r="G75" s="10"/>
      <c r="H75" s="49" t="s">
        <v>413</v>
      </c>
    </row>
    <row r="76" spans="1:8" hidden="1">
      <c r="A76" s="44">
        <v>73</v>
      </c>
      <c r="B76" s="62" t="s">
        <v>67</v>
      </c>
      <c r="C76" s="62" t="s">
        <v>263</v>
      </c>
      <c r="D76" s="62" t="s">
        <v>264</v>
      </c>
      <c r="E76" s="62" t="str">
        <f>IF(COUNTIF('Giriş Sayfası'!A:A,'TERCİH kontrol'!A76),"Tercihi Var","Tercihi Yok")</f>
        <v>Tercihi Yok</v>
      </c>
      <c r="F76" s="10" t="s">
        <v>1161</v>
      </c>
      <c r="G76" s="10"/>
      <c r="H76" s="49" t="s">
        <v>414</v>
      </c>
    </row>
    <row r="77" spans="1:8">
      <c r="A77" s="44">
        <v>74</v>
      </c>
      <c r="B77" s="59" t="s">
        <v>67</v>
      </c>
      <c r="C77" s="59" t="s">
        <v>707</v>
      </c>
      <c r="D77" s="59" t="s">
        <v>191</v>
      </c>
      <c r="E77" s="59" t="str">
        <f>IF(COUNTIF('Giriş Sayfası'!A:A,'TERCİH kontrol'!A77),"Tercihi Var","Tercihi Yok")</f>
        <v>Tercihi Var</v>
      </c>
      <c r="F77" s="10"/>
      <c r="G77" s="10"/>
      <c r="H77" s="49" t="s">
        <v>708</v>
      </c>
    </row>
    <row r="78" spans="1:8" hidden="1">
      <c r="A78" s="44">
        <v>75</v>
      </c>
      <c r="B78" s="62" t="s">
        <v>69</v>
      </c>
      <c r="C78" s="62" t="s">
        <v>246</v>
      </c>
      <c r="D78" s="62" t="s">
        <v>265</v>
      </c>
      <c r="E78" s="62" t="str">
        <f>IF(COUNTIF('Giriş Sayfası'!A:A,'TERCİH kontrol'!A78),"Tercihi Var","Tercihi Yok")</f>
        <v>Tercihi Yok</v>
      </c>
      <c r="F78" s="10"/>
      <c r="G78" s="10" t="s">
        <v>1056</v>
      </c>
      <c r="H78" s="49" t="s">
        <v>415</v>
      </c>
    </row>
    <row r="79" spans="1:8">
      <c r="A79" s="44">
        <v>76</v>
      </c>
      <c r="B79" s="59" t="s">
        <v>69</v>
      </c>
      <c r="C79" s="59" t="s">
        <v>228</v>
      </c>
      <c r="D79" s="59" t="s">
        <v>210</v>
      </c>
      <c r="E79" s="59" t="str">
        <f>IF(COUNTIF('Giriş Sayfası'!A:A,'TERCİH kontrol'!A79),"Tercihi Var","Tercihi Yok")</f>
        <v>Tercihi Var</v>
      </c>
      <c r="F79" s="10"/>
      <c r="G79" s="10"/>
      <c r="H79" s="49" t="s">
        <v>709</v>
      </c>
    </row>
    <row r="80" spans="1:8" hidden="1">
      <c r="A80" s="44">
        <v>77</v>
      </c>
      <c r="B80" s="62" t="s">
        <v>69</v>
      </c>
      <c r="C80" s="62" t="s">
        <v>25</v>
      </c>
      <c r="D80" s="62" t="s">
        <v>710</v>
      </c>
      <c r="E80" s="62" t="str">
        <f>IF(COUNTIF('Giriş Sayfası'!A:A,'TERCİH kontrol'!A80),"Tercihi Var","Tercihi Yok")</f>
        <v>Tercihi Yok</v>
      </c>
      <c r="F80" s="10"/>
      <c r="G80" s="10"/>
      <c r="H80" s="49" t="s">
        <v>711</v>
      </c>
    </row>
    <row r="81" spans="1:8">
      <c r="A81" s="44">
        <v>78</v>
      </c>
      <c r="B81" s="59" t="s">
        <v>73</v>
      </c>
      <c r="C81" s="59" t="s">
        <v>712</v>
      </c>
      <c r="D81" s="59" t="s">
        <v>713</v>
      </c>
      <c r="E81" s="59" t="str">
        <f>IF(COUNTIF('Giriş Sayfası'!A:A,'TERCİH kontrol'!A81),"Tercihi Var","Tercihi Yok")</f>
        <v>Tercihi Var</v>
      </c>
      <c r="F81" s="10"/>
      <c r="G81" s="10"/>
      <c r="H81" s="49" t="s">
        <v>714</v>
      </c>
    </row>
    <row r="82" spans="1:8" hidden="1">
      <c r="A82" s="44">
        <v>79</v>
      </c>
      <c r="B82" s="62" t="s">
        <v>73</v>
      </c>
      <c r="C82" s="62" t="s">
        <v>266</v>
      </c>
      <c r="D82" s="62" t="s">
        <v>70</v>
      </c>
      <c r="E82" s="62" t="str">
        <f>IF(COUNTIF('Giriş Sayfası'!A:A,'TERCİH kontrol'!A82),"Tercihi Var","Tercihi Yok")</f>
        <v>Tercihi Yok</v>
      </c>
      <c r="F82" s="10" t="s">
        <v>1161</v>
      </c>
      <c r="G82" s="10"/>
      <c r="H82" s="49" t="s">
        <v>416</v>
      </c>
    </row>
    <row r="83" spans="1:8" hidden="1">
      <c r="A83" s="44">
        <v>80</v>
      </c>
      <c r="B83" s="62" t="s">
        <v>73</v>
      </c>
      <c r="C83" s="62" t="s">
        <v>267</v>
      </c>
      <c r="D83" s="62" t="s">
        <v>268</v>
      </c>
      <c r="E83" s="62" t="str">
        <f>IF(COUNTIF('Giriş Sayfası'!A:A,'TERCİH kontrol'!A83),"Tercihi Var","Tercihi Yok")</f>
        <v>Tercihi Yok</v>
      </c>
      <c r="F83" s="10"/>
      <c r="G83" s="10"/>
      <c r="H83" s="49" t="s">
        <v>417</v>
      </c>
    </row>
    <row r="84" spans="1:8">
      <c r="A84" s="44">
        <v>81</v>
      </c>
      <c r="B84" s="59" t="s">
        <v>73</v>
      </c>
      <c r="C84" s="59" t="s">
        <v>126</v>
      </c>
      <c r="D84" s="59" t="s">
        <v>16</v>
      </c>
      <c r="E84" s="59" t="str">
        <f>IF(COUNTIF('Giriş Sayfası'!A:A,'TERCİH kontrol'!A84),"Tercihi Var","Tercihi Yok")</f>
        <v>Tercihi Var</v>
      </c>
      <c r="F84" s="10" t="s">
        <v>1156</v>
      </c>
      <c r="G84" s="10"/>
      <c r="H84" s="49" t="s">
        <v>715</v>
      </c>
    </row>
    <row r="85" spans="1:8" hidden="1">
      <c r="A85" s="44">
        <v>82</v>
      </c>
      <c r="B85" s="62" t="s">
        <v>74</v>
      </c>
      <c r="C85" s="62" t="s">
        <v>269</v>
      </c>
      <c r="D85" s="62" t="s">
        <v>270</v>
      </c>
      <c r="E85" s="62" t="str">
        <f>IF(COUNTIF('Giriş Sayfası'!A:A,'TERCİH kontrol'!A85),"Tercihi Var","Tercihi Yok")</f>
        <v>Tercihi Yok</v>
      </c>
      <c r="F85" s="10"/>
      <c r="G85" s="10"/>
      <c r="H85" s="49" t="s">
        <v>418</v>
      </c>
    </row>
    <row r="86" spans="1:8" hidden="1">
      <c r="A86" s="44">
        <v>83</v>
      </c>
      <c r="B86" s="62" t="s">
        <v>74</v>
      </c>
      <c r="C86" s="62" t="s">
        <v>77</v>
      </c>
      <c r="D86" s="62" t="s">
        <v>78</v>
      </c>
      <c r="E86" s="62" t="str">
        <f>IF(COUNTIF('Giriş Sayfası'!A:A,'TERCİH kontrol'!A86),"Tercihi Var","Tercihi Yok")</f>
        <v>Tercihi Yok</v>
      </c>
      <c r="F86" s="10"/>
      <c r="G86" s="10"/>
      <c r="H86" s="49" t="s">
        <v>1144</v>
      </c>
    </row>
    <row r="87" spans="1:8">
      <c r="A87" s="44">
        <v>84</v>
      </c>
      <c r="B87" s="59" t="s">
        <v>74</v>
      </c>
      <c r="C87" s="59" t="s">
        <v>717</v>
      </c>
      <c r="D87" s="59" t="s">
        <v>718</v>
      </c>
      <c r="E87" s="59" t="str">
        <f>IF(COUNTIF('Giriş Sayfası'!A:A,'TERCİH kontrol'!A87),"Tercihi Var","Tercihi Yok")</f>
        <v>Tercihi Var</v>
      </c>
      <c r="F87" s="10"/>
      <c r="G87" s="10"/>
      <c r="H87" s="49" t="s">
        <v>719</v>
      </c>
    </row>
    <row r="88" spans="1:8">
      <c r="A88" s="44">
        <v>85</v>
      </c>
      <c r="B88" s="59" t="s">
        <v>80</v>
      </c>
      <c r="C88" s="59" t="s">
        <v>192</v>
      </c>
      <c r="D88" s="59" t="s">
        <v>720</v>
      </c>
      <c r="E88" s="59" t="str">
        <f>IF(COUNTIF('Giriş Sayfası'!A:A,'TERCİH kontrol'!A88),"Tercihi Var","Tercihi Yok")</f>
        <v>Tercihi Var</v>
      </c>
      <c r="F88" s="10"/>
      <c r="G88" s="10"/>
      <c r="H88" s="49" t="s">
        <v>721</v>
      </c>
    </row>
    <row r="89" spans="1:8">
      <c r="A89" s="44">
        <v>86</v>
      </c>
      <c r="B89" s="59" t="s">
        <v>80</v>
      </c>
      <c r="C89" s="59" t="s">
        <v>271</v>
      </c>
      <c r="D89" s="59" t="s">
        <v>45</v>
      </c>
      <c r="E89" s="59" t="str">
        <f>IF(COUNTIF('Giriş Sayfası'!A:A,'TERCİH kontrol'!A89),"Tercihi Var","Tercihi Yok")</f>
        <v>Tercihi Var</v>
      </c>
      <c r="F89" s="10"/>
      <c r="G89" s="10" t="s">
        <v>1048</v>
      </c>
      <c r="H89" s="49" t="s">
        <v>419</v>
      </c>
    </row>
    <row r="90" spans="1:8">
      <c r="A90" s="44">
        <v>87</v>
      </c>
      <c r="B90" s="59" t="s">
        <v>81</v>
      </c>
      <c r="C90" s="59" t="s">
        <v>722</v>
      </c>
      <c r="D90" s="59" t="s">
        <v>93</v>
      </c>
      <c r="E90" s="59" t="str">
        <f>IF(COUNTIF('Giriş Sayfası'!A:A,'TERCİH kontrol'!A90),"Tercihi Var","Tercihi Yok")</f>
        <v>Tercihi Var</v>
      </c>
      <c r="F90" s="10" t="s">
        <v>1157</v>
      </c>
      <c r="G90" s="10" t="s">
        <v>1056</v>
      </c>
      <c r="H90" s="49" t="s">
        <v>723</v>
      </c>
    </row>
    <row r="91" spans="1:8" hidden="1">
      <c r="A91" s="44">
        <v>88</v>
      </c>
      <c r="B91" s="62" t="s">
        <v>82</v>
      </c>
      <c r="C91" s="62" t="s">
        <v>724</v>
      </c>
      <c r="D91" s="62" t="s">
        <v>725</v>
      </c>
      <c r="E91" s="62" t="str">
        <f>IF(COUNTIF('Giriş Sayfası'!A:A,'TERCİH kontrol'!A91),"Tercihi Var","Tercihi Yok")</f>
        <v>Tercihi Yok</v>
      </c>
      <c r="F91" s="10"/>
      <c r="G91" s="10"/>
      <c r="H91" s="49" t="s">
        <v>726</v>
      </c>
    </row>
    <row r="92" spans="1:8">
      <c r="A92" s="44">
        <v>89</v>
      </c>
      <c r="B92" s="59" t="s">
        <v>82</v>
      </c>
      <c r="C92" s="59" t="s">
        <v>727</v>
      </c>
      <c r="D92" s="59" t="s">
        <v>728</v>
      </c>
      <c r="E92" s="59" t="str">
        <f>IF(COUNTIF('Giriş Sayfası'!A:A,'TERCİH kontrol'!A92),"Tercihi Var","Tercihi Yok")</f>
        <v>Tercihi Var</v>
      </c>
      <c r="F92" s="10"/>
      <c r="G92" s="10"/>
      <c r="H92" s="49" t="s">
        <v>729</v>
      </c>
    </row>
    <row r="93" spans="1:8">
      <c r="A93" s="44">
        <v>90</v>
      </c>
      <c r="B93" s="59" t="s">
        <v>82</v>
      </c>
      <c r="C93" s="59" t="s">
        <v>272</v>
      </c>
      <c r="D93" s="59" t="s">
        <v>61</v>
      </c>
      <c r="E93" s="59" t="str">
        <f>IF(COUNTIF('Giriş Sayfası'!A:A,'TERCİH kontrol'!A93),"Tercihi Var","Tercihi Yok")</f>
        <v>Tercihi Var</v>
      </c>
      <c r="F93" s="10"/>
      <c r="G93" s="10" t="s">
        <v>1056</v>
      </c>
      <c r="H93" s="49" t="s">
        <v>420</v>
      </c>
    </row>
    <row r="94" spans="1:8" hidden="1">
      <c r="A94" s="44">
        <v>91</v>
      </c>
      <c r="B94" s="62" t="s">
        <v>82</v>
      </c>
      <c r="C94" s="62" t="s">
        <v>730</v>
      </c>
      <c r="D94" s="62" t="s">
        <v>731</v>
      </c>
      <c r="E94" s="62" t="str">
        <f>IF(COUNTIF('Giriş Sayfası'!A:A,'TERCİH kontrol'!A94),"Tercihi Var","Tercihi Yok")</f>
        <v>Tercihi Yok</v>
      </c>
      <c r="F94" s="10"/>
      <c r="G94" s="10"/>
      <c r="H94" s="49" t="s">
        <v>732</v>
      </c>
    </row>
    <row r="95" spans="1:8" hidden="1">
      <c r="A95" s="44">
        <v>92</v>
      </c>
      <c r="B95" s="62" t="s">
        <v>85</v>
      </c>
      <c r="C95" s="62" t="s">
        <v>192</v>
      </c>
      <c r="D95" s="62" t="s">
        <v>36</v>
      </c>
      <c r="E95" s="62" t="str">
        <f>IF(COUNTIF('Giriş Sayfası'!A:A,'TERCİH kontrol'!A95),"Tercihi Var","Tercihi Yok")</f>
        <v>Tercihi Yok</v>
      </c>
      <c r="F95" s="10"/>
      <c r="G95" s="10"/>
      <c r="H95" s="49" t="s">
        <v>733</v>
      </c>
    </row>
    <row r="96" spans="1:8">
      <c r="A96" s="44">
        <v>93</v>
      </c>
      <c r="B96" s="59" t="s">
        <v>85</v>
      </c>
      <c r="C96" s="59" t="s">
        <v>116</v>
      </c>
      <c r="D96" s="59" t="s">
        <v>371</v>
      </c>
      <c r="E96" s="59" t="str">
        <f>IF(COUNTIF('Giriş Sayfası'!A:A,'TERCİH kontrol'!A96),"Tercihi Var","Tercihi Yok")</f>
        <v>Tercihi Var</v>
      </c>
      <c r="F96" s="10"/>
      <c r="G96" s="10"/>
      <c r="H96" s="49" t="s">
        <v>734</v>
      </c>
    </row>
    <row r="97" spans="1:8" hidden="1">
      <c r="A97" s="44">
        <v>94</v>
      </c>
      <c r="B97" s="62" t="s">
        <v>87</v>
      </c>
      <c r="C97" s="62" t="s">
        <v>88</v>
      </c>
      <c r="D97" s="62" t="s">
        <v>89</v>
      </c>
      <c r="E97" s="62" t="str">
        <f>IF(COUNTIF('Giriş Sayfası'!A:A,'TERCİH kontrol'!A97),"Tercihi Var","Tercihi Yok")</f>
        <v>Tercihi Yok</v>
      </c>
      <c r="F97" s="10" t="s">
        <v>1157</v>
      </c>
      <c r="G97" s="10"/>
      <c r="H97" s="49" t="s">
        <v>421</v>
      </c>
    </row>
    <row r="98" spans="1:8" hidden="1">
      <c r="A98" s="44">
        <v>95</v>
      </c>
      <c r="B98" s="62" t="s">
        <v>87</v>
      </c>
      <c r="C98" s="62" t="s">
        <v>735</v>
      </c>
      <c r="D98" s="62" t="s">
        <v>736</v>
      </c>
      <c r="E98" s="62" t="str">
        <f>IF(COUNTIF('Giriş Sayfası'!A:A,'TERCİH kontrol'!A98),"Tercihi Var","Tercihi Yok")</f>
        <v>Tercihi Yok</v>
      </c>
      <c r="F98" s="10" t="s">
        <v>1156</v>
      </c>
      <c r="G98" s="10"/>
      <c r="H98" s="49" t="s">
        <v>737</v>
      </c>
    </row>
    <row r="99" spans="1:8">
      <c r="A99" s="44">
        <v>96</v>
      </c>
      <c r="B99" s="59" t="s">
        <v>87</v>
      </c>
      <c r="C99" s="59" t="s">
        <v>24</v>
      </c>
      <c r="D99" s="59" t="s">
        <v>90</v>
      </c>
      <c r="E99" s="59" t="str">
        <f>IF(COUNTIF('Giriş Sayfası'!A:A,'TERCİH kontrol'!A99),"Tercihi Var","Tercihi Yok")</f>
        <v>Tercihi Var</v>
      </c>
      <c r="F99" s="10" t="s">
        <v>1153</v>
      </c>
      <c r="G99" s="10"/>
      <c r="H99" s="49" t="s">
        <v>422</v>
      </c>
    </row>
    <row r="100" spans="1:8">
      <c r="A100" s="44">
        <v>97</v>
      </c>
      <c r="B100" s="59" t="s">
        <v>87</v>
      </c>
      <c r="C100" s="59" t="s">
        <v>1086</v>
      </c>
      <c r="D100" s="59" t="s">
        <v>276</v>
      </c>
      <c r="E100" s="59" t="str">
        <f>IF(COUNTIF('Giriş Sayfası'!A:A,'TERCİH kontrol'!A100),"Tercihi Var","Tercihi Yok")</f>
        <v>Tercihi Var</v>
      </c>
      <c r="F100" s="10"/>
      <c r="G100" s="10" t="s">
        <v>1056</v>
      </c>
      <c r="H100" s="49" t="s">
        <v>423</v>
      </c>
    </row>
    <row r="101" spans="1:8" hidden="1">
      <c r="A101" s="44">
        <v>98</v>
      </c>
      <c r="B101" s="62" t="s">
        <v>91</v>
      </c>
      <c r="C101" s="62" t="s">
        <v>195</v>
      </c>
      <c r="D101" s="62" t="s">
        <v>196</v>
      </c>
      <c r="E101" s="62" t="str">
        <f>IF(COUNTIF('Giriş Sayfası'!A:A,'TERCİH kontrol'!A101),"Tercihi Var","Tercihi Yok")</f>
        <v>Tercihi Yok</v>
      </c>
      <c r="F101" s="10"/>
      <c r="G101" s="10"/>
      <c r="H101" s="49" t="s">
        <v>424</v>
      </c>
    </row>
    <row r="102" spans="1:8">
      <c r="A102" s="44">
        <v>99</v>
      </c>
      <c r="B102" s="59" t="s">
        <v>91</v>
      </c>
      <c r="C102" s="59" t="s">
        <v>108</v>
      </c>
      <c r="D102" s="59" t="s">
        <v>277</v>
      </c>
      <c r="E102" s="59" t="str">
        <f>IF(COUNTIF('Giriş Sayfası'!A:A,'TERCİH kontrol'!A102),"Tercihi Var","Tercihi Yok")</f>
        <v>Tercihi Var</v>
      </c>
      <c r="F102" s="10" t="s">
        <v>1162</v>
      </c>
      <c r="G102" s="10"/>
      <c r="H102" s="49" t="s">
        <v>425</v>
      </c>
    </row>
    <row r="103" spans="1:8" hidden="1">
      <c r="A103" s="44">
        <v>100</v>
      </c>
      <c r="B103" s="62" t="s">
        <v>91</v>
      </c>
      <c r="C103" s="62" t="s">
        <v>278</v>
      </c>
      <c r="D103" s="62" t="s">
        <v>137</v>
      </c>
      <c r="E103" s="62" t="str">
        <f>IF(COUNTIF('Giriş Sayfası'!A:A,'TERCİH kontrol'!A103),"Tercihi Var","Tercihi Yok")</f>
        <v>Tercihi Yok</v>
      </c>
      <c r="F103" s="10"/>
      <c r="G103" s="10" t="s">
        <v>1056</v>
      </c>
      <c r="H103" s="49" t="s">
        <v>426</v>
      </c>
    </row>
    <row r="104" spans="1:8">
      <c r="A104" s="44">
        <v>101</v>
      </c>
      <c r="B104" s="59" t="s">
        <v>92</v>
      </c>
      <c r="C104" s="59" t="s">
        <v>738</v>
      </c>
      <c r="D104" s="59" t="s">
        <v>739</v>
      </c>
      <c r="E104" s="59" t="str">
        <f>IF(COUNTIF('Giriş Sayfası'!A:A,'TERCİH kontrol'!A104),"Tercihi Var","Tercihi Yok")</f>
        <v>Tercihi Var</v>
      </c>
      <c r="F104" s="10"/>
      <c r="G104" s="10"/>
      <c r="H104" s="49" t="s">
        <v>740</v>
      </c>
    </row>
    <row r="105" spans="1:8">
      <c r="A105" s="44">
        <v>102</v>
      </c>
      <c r="B105" s="59" t="s">
        <v>92</v>
      </c>
      <c r="C105" s="59" t="s">
        <v>17</v>
      </c>
      <c r="D105" s="59" t="s">
        <v>18</v>
      </c>
      <c r="E105" s="59" t="str">
        <f>IF(COUNTIF('Giriş Sayfası'!A:A,'TERCİH kontrol'!A105),"Tercihi Var","Tercihi Yok")</f>
        <v>Tercihi Var</v>
      </c>
      <c r="F105" s="10" t="s">
        <v>1162</v>
      </c>
      <c r="G105" s="10"/>
      <c r="H105" s="49" t="s">
        <v>427</v>
      </c>
    </row>
    <row r="106" spans="1:8">
      <c r="A106" s="44">
        <v>103</v>
      </c>
      <c r="B106" s="59" t="s">
        <v>92</v>
      </c>
      <c r="C106" s="59" t="s">
        <v>741</v>
      </c>
      <c r="D106" s="59" t="s">
        <v>742</v>
      </c>
      <c r="E106" s="59" t="str">
        <f>IF(COUNTIF('Giriş Sayfası'!A:A,'TERCİH kontrol'!A106),"Tercihi Var","Tercihi Yok")</f>
        <v>Tercihi Var</v>
      </c>
      <c r="F106" s="10"/>
      <c r="G106" s="10"/>
      <c r="H106" s="49" t="s">
        <v>743</v>
      </c>
    </row>
    <row r="107" spans="1:8" hidden="1">
      <c r="A107" s="44">
        <v>104</v>
      </c>
      <c r="B107" s="62" t="s">
        <v>92</v>
      </c>
      <c r="C107" s="62" t="s">
        <v>198</v>
      </c>
      <c r="D107" s="62" t="s">
        <v>1092</v>
      </c>
      <c r="E107" s="62" t="str">
        <f>IF(COUNTIF('Giriş Sayfası'!A:A,'TERCİH kontrol'!A107),"Tercihi Var","Tercihi Yok")</f>
        <v>Tercihi Yok</v>
      </c>
      <c r="F107" s="10"/>
      <c r="G107" s="10"/>
      <c r="H107" s="49" t="s">
        <v>428</v>
      </c>
    </row>
    <row r="108" spans="1:8">
      <c r="A108" s="44">
        <v>105</v>
      </c>
      <c r="B108" s="59" t="s">
        <v>92</v>
      </c>
      <c r="C108" s="59" t="s">
        <v>39</v>
      </c>
      <c r="D108" s="59" t="s">
        <v>13</v>
      </c>
      <c r="E108" s="59" t="str">
        <f>IF(COUNTIF('Giriş Sayfası'!A:A,'TERCİH kontrol'!A108),"Tercihi Var","Tercihi Yok")</f>
        <v>Tercihi Var</v>
      </c>
      <c r="F108" s="10" t="s">
        <v>1159</v>
      </c>
      <c r="G108" s="10"/>
      <c r="H108" s="49" t="s">
        <v>744</v>
      </c>
    </row>
    <row r="109" spans="1:8" hidden="1">
      <c r="A109" s="44">
        <v>106</v>
      </c>
      <c r="B109" s="62" t="s">
        <v>92</v>
      </c>
      <c r="C109" s="62" t="s">
        <v>280</v>
      </c>
      <c r="D109" s="62" t="s">
        <v>16</v>
      </c>
      <c r="E109" s="62" t="str">
        <f>IF(COUNTIF('Giriş Sayfası'!A:A,'TERCİH kontrol'!A109),"Tercihi Var","Tercihi Yok")</f>
        <v>Tercihi Yok</v>
      </c>
      <c r="F109" s="10"/>
      <c r="G109" s="10"/>
      <c r="H109" s="49" t="s">
        <v>429</v>
      </c>
    </row>
    <row r="110" spans="1:8">
      <c r="A110" s="44">
        <v>107</v>
      </c>
      <c r="B110" s="59" t="s">
        <v>92</v>
      </c>
      <c r="C110" s="59" t="s">
        <v>745</v>
      </c>
      <c r="D110" s="59" t="s">
        <v>746</v>
      </c>
      <c r="E110" s="59" t="str">
        <f>IF(COUNTIF('Giriş Sayfası'!A:A,'TERCİH kontrol'!A110),"Tercihi Var","Tercihi Yok")</f>
        <v>Tercihi Var</v>
      </c>
      <c r="F110" s="10"/>
      <c r="G110" s="10"/>
      <c r="H110" s="49" t="s">
        <v>747</v>
      </c>
    </row>
    <row r="111" spans="1:8" hidden="1">
      <c r="A111" s="44">
        <v>108</v>
      </c>
      <c r="B111" s="62" t="s">
        <v>95</v>
      </c>
      <c r="C111" s="62" t="s">
        <v>15</v>
      </c>
      <c r="D111" s="62" t="s">
        <v>748</v>
      </c>
      <c r="E111" s="62" t="str">
        <f>IF(COUNTIF('Giriş Sayfası'!A:A,'TERCİH kontrol'!A111),"Tercihi Var","Tercihi Yok")</f>
        <v>Tercihi Yok</v>
      </c>
      <c r="F111" s="10" t="s">
        <v>1163</v>
      </c>
      <c r="G111" s="10"/>
      <c r="H111" s="49" t="s">
        <v>749</v>
      </c>
    </row>
    <row r="112" spans="1:8">
      <c r="A112" s="44">
        <v>109</v>
      </c>
      <c r="B112" s="59" t="s">
        <v>95</v>
      </c>
      <c r="C112" s="59" t="s">
        <v>83</v>
      </c>
      <c r="D112" s="59" t="s">
        <v>282</v>
      </c>
      <c r="E112" s="59" t="str">
        <f>IF(COUNTIF('Giriş Sayfası'!A:A,'TERCİH kontrol'!A112),"Tercihi Var","Tercihi Yok")</f>
        <v>Tercihi Var</v>
      </c>
      <c r="F112" s="10" t="s">
        <v>1156</v>
      </c>
      <c r="G112" s="10"/>
      <c r="H112" s="49" t="s">
        <v>431</v>
      </c>
    </row>
    <row r="113" spans="1:8">
      <c r="A113" s="44">
        <v>110</v>
      </c>
      <c r="B113" s="59" t="s">
        <v>95</v>
      </c>
      <c r="C113" s="59" t="s">
        <v>83</v>
      </c>
      <c r="D113" s="59" t="s">
        <v>283</v>
      </c>
      <c r="E113" s="59" t="str">
        <f>IF(COUNTIF('Giriş Sayfası'!A:A,'TERCİH kontrol'!A113),"Tercihi Var","Tercihi Yok")</f>
        <v>Tercihi Var</v>
      </c>
      <c r="F113" s="10"/>
      <c r="G113" s="10" t="s">
        <v>1164</v>
      </c>
      <c r="H113" s="49" t="s">
        <v>432</v>
      </c>
    </row>
    <row r="114" spans="1:8" hidden="1">
      <c r="A114" s="44">
        <v>111</v>
      </c>
      <c r="B114" s="62" t="s">
        <v>97</v>
      </c>
      <c r="C114" s="62" t="s">
        <v>284</v>
      </c>
      <c r="D114" s="62" t="s">
        <v>285</v>
      </c>
      <c r="E114" s="62" t="str">
        <f>IF(COUNTIF('Giriş Sayfası'!A:A,'TERCİH kontrol'!A114),"Tercihi Var","Tercihi Yok")</f>
        <v>Tercihi Yok</v>
      </c>
      <c r="F114" s="10"/>
      <c r="G114" s="10"/>
      <c r="H114" s="49" t="s">
        <v>433</v>
      </c>
    </row>
    <row r="115" spans="1:8">
      <c r="A115" s="44">
        <v>112</v>
      </c>
      <c r="B115" s="59" t="s">
        <v>97</v>
      </c>
      <c r="C115" s="59" t="s">
        <v>286</v>
      </c>
      <c r="D115" s="59" t="s">
        <v>287</v>
      </c>
      <c r="E115" s="59" t="str">
        <f>IF(COUNTIF('Giriş Sayfası'!A:A,'TERCİH kontrol'!A115),"Tercihi Var","Tercihi Yok")</f>
        <v>Tercihi Var</v>
      </c>
      <c r="F115" s="10"/>
      <c r="G115" s="10"/>
      <c r="H115" s="49" t="s">
        <v>750</v>
      </c>
    </row>
    <row r="116" spans="1:8" hidden="1">
      <c r="A116" s="44">
        <v>113</v>
      </c>
      <c r="B116" s="62" t="s">
        <v>751</v>
      </c>
      <c r="C116" s="62" t="s">
        <v>752</v>
      </c>
      <c r="D116" s="62" t="s">
        <v>753</v>
      </c>
      <c r="E116" s="62" t="str">
        <f>IF(COUNTIF('Giriş Sayfası'!A:A,'TERCİH kontrol'!A116),"Tercihi Var","Tercihi Yok")</f>
        <v>Tercihi Yok</v>
      </c>
      <c r="F116" s="10"/>
      <c r="G116" s="10"/>
      <c r="H116" s="49" t="s">
        <v>754</v>
      </c>
    </row>
    <row r="117" spans="1:8" hidden="1">
      <c r="A117" s="44">
        <v>114</v>
      </c>
      <c r="B117" s="62" t="s">
        <v>98</v>
      </c>
      <c r="C117" s="62" t="s">
        <v>755</v>
      </c>
      <c r="D117" s="62" t="s">
        <v>281</v>
      </c>
      <c r="E117" s="62" t="str">
        <f>IF(COUNTIF('Giriş Sayfası'!A:A,'TERCİH kontrol'!A117),"Tercihi Var","Tercihi Yok")</f>
        <v>Tercihi Yok</v>
      </c>
      <c r="F117" s="10"/>
      <c r="G117" s="10" t="s">
        <v>1040</v>
      </c>
      <c r="H117" s="49" t="s">
        <v>756</v>
      </c>
    </row>
    <row r="118" spans="1:8">
      <c r="A118" s="44">
        <v>115</v>
      </c>
      <c r="B118" s="59" t="s">
        <v>98</v>
      </c>
      <c r="C118" s="59" t="s">
        <v>757</v>
      </c>
      <c r="D118" s="59" t="s">
        <v>758</v>
      </c>
      <c r="E118" s="59" t="str">
        <f>IF(COUNTIF('Giriş Sayfası'!A:A,'TERCİH kontrol'!A118),"Tercihi Var","Tercihi Yok")</f>
        <v>Tercihi Var</v>
      </c>
      <c r="F118" s="10" t="s">
        <v>1153</v>
      </c>
      <c r="G118" s="10"/>
      <c r="H118" s="49" t="s">
        <v>759</v>
      </c>
    </row>
    <row r="119" spans="1:8" hidden="1">
      <c r="A119" s="44">
        <v>116</v>
      </c>
      <c r="B119" s="62" t="s">
        <v>98</v>
      </c>
      <c r="C119" s="62" t="s">
        <v>288</v>
      </c>
      <c r="D119" s="62" t="s">
        <v>106</v>
      </c>
      <c r="E119" s="62" t="str">
        <f>IF(COUNTIF('Giriş Sayfası'!A:A,'TERCİH kontrol'!A119),"Tercihi Var","Tercihi Yok")</f>
        <v>Tercihi Yok</v>
      </c>
      <c r="F119" s="10"/>
      <c r="G119" s="10"/>
      <c r="H119" s="49" t="s">
        <v>760</v>
      </c>
    </row>
    <row r="120" spans="1:8" hidden="1">
      <c r="A120" s="44">
        <v>117</v>
      </c>
      <c r="B120" s="62" t="s">
        <v>98</v>
      </c>
      <c r="C120" s="62" t="s">
        <v>201</v>
      </c>
      <c r="D120" s="62" t="s">
        <v>202</v>
      </c>
      <c r="E120" s="62" t="str">
        <f>IF(COUNTIF('Giriş Sayfası'!A:A,'TERCİH kontrol'!A120),"Tercihi Var","Tercihi Yok")</f>
        <v>Tercihi Yok</v>
      </c>
      <c r="F120" s="10"/>
      <c r="G120" s="10" t="s">
        <v>1056</v>
      </c>
      <c r="H120" s="49" t="s">
        <v>434</v>
      </c>
    </row>
    <row r="121" spans="1:8">
      <c r="A121" s="44">
        <v>118</v>
      </c>
      <c r="B121" s="59" t="s">
        <v>98</v>
      </c>
      <c r="C121" s="59" t="s">
        <v>761</v>
      </c>
      <c r="D121" s="59" t="s">
        <v>106</v>
      </c>
      <c r="E121" s="59" t="str">
        <f>IF(COUNTIF('Giriş Sayfası'!A:A,'TERCİH kontrol'!A121),"Tercihi Var","Tercihi Yok")</f>
        <v>Tercihi Var</v>
      </c>
      <c r="F121" s="10" t="s">
        <v>1157</v>
      </c>
      <c r="G121" s="10" t="s">
        <v>1158</v>
      </c>
      <c r="H121" s="49" t="s">
        <v>762</v>
      </c>
    </row>
    <row r="122" spans="1:8" hidden="1">
      <c r="A122" s="44">
        <v>119</v>
      </c>
      <c r="B122" s="62" t="s">
        <v>101</v>
      </c>
      <c r="C122" s="62" t="s">
        <v>102</v>
      </c>
      <c r="D122" s="62" t="s">
        <v>103</v>
      </c>
      <c r="E122" s="62" t="str">
        <f>IF(COUNTIF('Giriş Sayfası'!A:A,'TERCİH kontrol'!A122),"Tercihi Var","Tercihi Yok")</f>
        <v>Tercihi Yok</v>
      </c>
      <c r="F122" s="10" t="s">
        <v>1165</v>
      </c>
      <c r="G122" s="10"/>
      <c r="H122" s="49" t="s">
        <v>435</v>
      </c>
    </row>
    <row r="123" spans="1:8" hidden="1">
      <c r="A123" s="44">
        <v>120</v>
      </c>
      <c r="B123" s="62" t="s">
        <v>101</v>
      </c>
      <c r="C123" s="62" t="s">
        <v>763</v>
      </c>
      <c r="D123" s="62" t="s">
        <v>308</v>
      </c>
      <c r="E123" s="62" t="str">
        <f>IF(COUNTIF('Giriş Sayfası'!A:A,'TERCİH kontrol'!A123),"Tercihi Var","Tercihi Yok")</f>
        <v>Tercihi Yok</v>
      </c>
      <c r="F123" s="10"/>
      <c r="G123" s="10"/>
      <c r="H123" s="49" t="s">
        <v>764</v>
      </c>
    </row>
    <row r="124" spans="1:8" hidden="1">
      <c r="A124" s="44">
        <v>121</v>
      </c>
      <c r="B124" s="62" t="s">
        <v>101</v>
      </c>
      <c r="C124" s="62" t="s">
        <v>755</v>
      </c>
      <c r="D124" s="62" t="s">
        <v>89</v>
      </c>
      <c r="E124" s="62" t="str">
        <f>IF(COUNTIF('Giriş Sayfası'!A:A,'TERCİH kontrol'!A124),"Tercihi Var","Tercihi Yok")</f>
        <v>Tercihi Yok</v>
      </c>
      <c r="F124" s="10"/>
      <c r="G124" s="10"/>
      <c r="H124" s="49" t="s">
        <v>765</v>
      </c>
    </row>
    <row r="125" spans="1:8">
      <c r="A125" s="44">
        <v>122</v>
      </c>
      <c r="B125" s="59" t="s">
        <v>104</v>
      </c>
      <c r="C125" s="59" t="s">
        <v>766</v>
      </c>
      <c r="D125" s="59" t="s">
        <v>767</v>
      </c>
      <c r="E125" s="59" t="str">
        <f>IF(COUNTIF('Giriş Sayfası'!A:A,'TERCİH kontrol'!A125),"Tercihi Var","Tercihi Yok")</f>
        <v>Tercihi Var</v>
      </c>
      <c r="F125" s="10"/>
      <c r="G125" s="10" t="s">
        <v>1158</v>
      </c>
      <c r="H125" s="49" t="s">
        <v>768</v>
      </c>
    </row>
    <row r="126" spans="1:8">
      <c r="A126" s="44">
        <v>123</v>
      </c>
      <c r="B126" s="59" t="s">
        <v>104</v>
      </c>
      <c r="C126" s="59" t="s">
        <v>105</v>
      </c>
      <c r="D126" s="59" t="s">
        <v>100</v>
      </c>
      <c r="E126" s="59" t="str">
        <f>IF(COUNTIF('Giriş Sayfası'!A:A,'TERCİH kontrol'!A126),"Tercihi Var","Tercihi Yok")</f>
        <v>Tercihi Var</v>
      </c>
      <c r="F126" s="10"/>
      <c r="G126" s="10" t="s">
        <v>1056</v>
      </c>
      <c r="H126" s="49" t="s">
        <v>436</v>
      </c>
    </row>
    <row r="127" spans="1:8">
      <c r="A127" s="44">
        <v>124</v>
      </c>
      <c r="B127" s="59" t="s">
        <v>104</v>
      </c>
      <c r="C127" s="59" t="s">
        <v>15</v>
      </c>
      <c r="D127" s="59" t="s">
        <v>769</v>
      </c>
      <c r="E127" s="59" t="str">
        <f>IF(COUNTIF('Giriş Sayfası'!A:A,'TERCİH kontrol'!A127),"Tercihi Var","Tercihi Yok")</f>
        <v>Tercihi Var</v>
      </c>
      <c r="F127" s="10" t="s">
        <v>1159</v>
      </c>
      <c r="G127" s="10"/>
      <c r="H127" s="49" t="s">
        <v>770</v>
      </c>
    </row>
    <row r="128" spans="1:8">
      <c r="A128" s="44">
        <v>125</v>
      </c>
      <c r="B128" s="59" t="s">
        <v>104</v>
      </c>
      <c r="C128" s="59" t="s">
        <v>771</v>
      </c>
      <c r="D128" s="59" t="s">
        <v>200</v>
      </c>
      <c r="E128" s="59" t="str">
        <f>IF(COUNTIF('Giriş Sayfası'!A:A,'TERCİH kontrol'!A128),"Tercihi Var","Tercihi Yok")</f>
        <v>Tercihi Var</v>
      </c>
      <c r="F128" s="10" t="s">
        <v>1156</v>
      </c>
      <c r="G128" s="10"/>
      <c r="H128" s="49" t="s">
        <v>772</v>
      </c>
    </row>
    <row r="129" spans="1:8" hidden="1">
      <c r="A129" s="44">
        <v>126</v>
      </c>
      <c r="B129" s="62" t="s">
        <v>104</v>
      </c>
      <c r="C129" s="62" t="s">
        <v>183</v>
      </c>
      <c r="D129" s="62" t="s">
        <v>289</v>
      </c>
      <c r="E129" s="62" t="str">
        <f>IF(COUNTIF('Giriş Sayfası'!A:A,'TERCİH kontrol'!A129),"Tercihi Var","Tercihi Yok")</f>
        <v>Tercihi Yok</v>
      </c>
      <c r="F129" s="10"/>
      <c r="G129" s="10"/>
      <c r="H129" s="49" t="s">
        <v>437</v>
      </c>
    </row>
    <row r="130" spans="1:8" hidden="1">
      <c r="A130" s="44">
        <v>127</v>
      </c>
      <c r="B130" s="62" t="s">
        <v>104</v>
      </c>
      <c r="C130" s="62" t="s">
        <v>274</v>
      </c>
      <c r="D130" s="62" t="s">
        <v>275</v>
      </c>
      <c r="E130" s="62" t="str">
        <f>IF(COUNTIF('Giriş Sayfası'!A:A,'TERCİH kontrol'!A130),"Tercihi Var","Tercihi Yok")</f>
        <v>Tercihi Yok</v>
      </c>
      <c r="F130" s="10"/>
      <c r="G130" s="10" t="s">
        <v>1040</v>
      </c>
      <c r="H130" s="49" t="s">
        <v>520</v>
      </c>
    </row>
    <row r="131" spans="1:8" hidden="1">
      <c r="A131" s="44">
        <v>128</v>
      </c>
      <c r="B131" s="62" t="s">
        <v>104</v>
      </c>
      <c r="C131" s="62" t="s">
        <v>205</v>
      </c>
      <c r="D131" s="62" t="s">
        <v>76</v>
      </c>
      <c r="E131" s="62" t="str">
        <f>IF(COUNTIF('Giriş Sayfası'!A:A,'TERCİH kontrol'!A131),"Tercihi Var","Tercihi Yok")</f>
        <v>Tercihi Yok</v>
      </c>
      <c r="F131" s="10"/>
      <c r="G131" s="10"/>
      <c r="H131" s="49" t="s">
        <v>438</v>
      </c>
    </row>
    <row r="132" spans="1:8" hidden="1">
      <c r="A132" s="44">
        <v>129</v>
      </c>
      <c r="B132" s="62" t="s">
        <v>104</v>
      </c>
      <c r="C132" s="62" t="s">
        <v>206</v>
      </c>
      <c r="D132" s="62" t="s">
        <v>207</v>
      </c>
      <c r="E132" s="62" t="str">
        <f>IF(COUNTIF('Giriş Sayfası'!A:A,'TERCİH kontrol'!A132),"Tercihi Var","Tercihi Yok")</f>
        <v>Tercihi Yok</v>
      </c>
      <c r="F132" s="10"/>
      <c r="G132" s="10"/>
      <c r="H132" s="49" t="s">
        <v>439</v>
      </c>
    </row>
    <row r="133" spans="1:8" hidden="1">
      <c r="A133" s="44">
        <v>130</v>
      </c>
      <c r="B133" s="62" t="s">
        <v>104</v>
      </c>
      <c r="C133" s="62" t="s">
        <v>96</v>
      </c>
      <c r="D133" s="62" t="s">
        <v>68</v>
      </c>
      <c r="E133" s="62" t="str">
        <f>IF(COUNTIF('Giriş Sayfası'!A:A,'TERCİH kontrol'!A133),"Tercihi Var","Tercihi Yok")</f>
        <v>Tercihi Yok</v>
      </c>
      <c r="F133" s="10" t="s">
        <v>1154</v>
      </c>
      <c r="G133" s="10" t="s">
        <v>1038</v>
      </c>
      <c r="H133" s="49" t="s">
        <v>430</v>
      </c>
    </row>
    <row r="134" spans="1:8" hidden="1">
      <c r="A134" s="44">
        <v>131</v>
      </c>
      <c r="B134" s="62" t="s">
        <v>104</v>
      </c>
      <c r="C134" s="62" t="s">
        <v>290</v>
      </c>
      <c r="D134" s="62" t="s">
        <v>291</v>
      </c>
      <c r="E134" s="62" t="str">
        <f>IF(COUNTIF('Giriş Sayfası'!A:A,'TERCİH kontrol'!A134),"Tercihi Var","Tercihi Yok")</f>
        <v>Tercihi Yok</v>
      </c>
      <c r="F134" s="10"/>
      <c r="G134" s="10"/>
      <c r="H134" s="49" t="s">
        <v>440</v>
      </c>
    </row>
    <row r="135" spans="1:8">
      <c r="A135" s="44">
        <v>132</v>
      </c>
      <c r="B135" s="59" t="s">
        <v>104</v>
      </c>
      <c r="C135" s="59" t="s">
        <v>208</v>
      </c>
      <c r="D135" s="59" t="s">
        <v>209</v>
      </c>
      <c r="E135" s="59" t="str">
        <f>IF(COUNTIF('Giriş Sayfası'!A:A,'TERCİH kontrol'!A135),"Tercihi Var","Tercihi Yok")</f>
        <v>Tercihi Var</v>
      </c>
      <c r="F135" s="10"/>
      <c r="G135" s="10"/>
      <c r="H135" s="49" t="s">
        <v>441</v>
      </c>
    </row>
    <row r="136" spans="1:8">
      <c r="A136" s="44">
        <v>133</v>
      </c>
      <c r="B136" s="59" t="s">
        <v>104</v>
      </c>
      <c r="C136" s="59" t="s">
        <v>292</v>
      </c>
      <c r="D136" s="59" t="s">
        <v>293</v>
      </c>
      <c r="E136" s="59" t="str">
        <f>IF(COUNTIF('Giriş Sayfası'!A:A,'TERCİH kontrol'!A136),"Tercihi Var","Tercihi Yok")</f>
        <v>Tercihi Var</v>
      </c>
      <c r="F136" s="10"/>
      <c r="G136" s="10"/>
      <c r="H136" s="49" t="s">
        <v>442</v>
      </c>
    </row>
    <row r="137" spans="1:8" hidden="1">
      <c r="A137" s="44">
        <v>134</v>
      </c>
      <c r="B137" s="62" t="s">
        <v>104</v>
      </c>
      <c r="C137" s="62" t="s">
        <v>773</v>
      </c>
      <c r="D137" s="62" t="s">
        <v>774</v>
      </c>
      <c r="E137" s="62" t="str">
        <f>IF(COUNTIF('Giriş Sayfası'!A:A,'TERCİH kontrol'!A137),"Tercihi Var","Tercihi Yok")</f>
        <v>Tercihi Yok</v>
      </c>
      <c r="F137" s="10"/>
      <c r="G137" s="10"/>
      <c r="H137" s="49" t="s">
        <v>775</v>
      </c>
    </row>
    <row r="138" spans="1:8">
      <c r="A138" s="44">
        <v>135</v>
      </c>
      <c r="B138" s="59" t="s">
        <v>104</v>
      </c>
      <c r="C138" s="59" t="s">
        <v>145</v>
      </c>
      <c r="D138" s="59" t="s">
        <v>100</v>
      </c>
      <c r="E138" s="59" t="str">
        <f>IF(COUNTIF('Giriş Sayfası'!A:A,'TERCİH kontrol'!A138),"Tercihi Var","Tercihi Yok")</f>
        <v>Tercihi Var</v>
      </c>
      <c r="F138" s="10" t="s">
        <v>1153</v>
      </c>
      <c r="G138" s="10"/>
      <c r="H138" s="49" t="s">
        <v>776</v>
      </c>
    </row>
    <row r="139" spans="1:8" hidden="1">
      <c r="A139" s="44">
        <v>136</v>
      </c>
      <c r="B139" s="62" t="s">
        <v>104</v>
      </c>
      <c r="C139" s="62" t="s">
        <v>185</v>
      </c>
      <c r="D139" s="62" t="s">
        <v>186</v>
      </c>
      <c r="E139" s="62" t="str">
        <f>IF(COUNTIF('Giriş Sayfası'!A:A,'TERCİH kontrol'!A139),"Tercihi Var","Tercihi Yok")</f>
        <v>Tercihi Yok</v>
      </c>
      <c r="F139" s="10" t="s">
        <v>1154</v>
      </c>
      <c r="G139" s="10" t="s">
        <v>1038</v>
      </c>
      <c r="H139" s="49" t="s">
        <v>405</v>
      </c>
    </row>
    <row r="140" spans="1:8">
      <c r="A140" s="44">
        <v>137</v>
      </c>
      <c r="B140" s="59" t="s">
        <v>104</v>
      </c>
      <c r="C140" s="59" t="s">
        <v>777</v>
      </c>
      <c r="D140" s="59" t="s">
        <v>778</v>
      </c>
      <c r="E140" s="59" t="str">
        <f>IF(COUNTIF('Giriş Sayfası'!A:A,'TERCİH kontrol'!A140),"Tercihi Var","Tercihi Yok")</f>
        <v>Tercihi Var</v>
      </c>
      <c r="F140" s="10"/>
      <c r="G140" s="10"/>
      <c r="H140" s="49" t="s">
        <v>779</v>
      </c>
    </row>
    <row r="141" spans="1:8" hidden="1">
      <c r="A141" s="44">
        <v>138</v>
      </c>
      <c r="B141" s="62" t="s">
        <v>104</v>
      </c>
      <c r="C141" s="62" t="s">
        <v>780</v>
      </c>
      <c r="D141" s="62" t="s">
        <v>781</v>
      </c>
      <c r="E141" s="62" t="str">
        <f>IF(COUNTIF('Giriş Sayfası'!A:A,'TERCİH kontrol'!A141),"Tercihi Var","Tercihi Yok")</f>
        <v>Tercihi Yok</v>
      </c>
      <c r="F141" s="10"/>
      <c r="G141" s="10"/>
      <c r="H141" s="49" t="s">
        <v>782</v>
      </c>
    </row>
    <row r="142" spans="1:8" hidden="1">
      <c r="A142" s="44">
        <v>140</v>
      </c>
      <c r="B142" s="62" t="s">
        <v>104</v>
      </c>
      <c r="C142" s="62" t="s">
        <v>783</v>
      </c>
      <c r="D142" s="62" t="s">
        <v>131</v>
      </c>
      <c r="E142" s="62" t="str">
        <f>IF(COUNTIF('Giriş Sayfası'!A:A,'TERCİH kontrol'!A142),"Tercihi Var","Tercihi Yok")</f>
        <v>Tercihi Yok</v>
      </c>
      <c r="F142" s="10" t="s">
        <v>1153</v>
      </c>
      <c r="G142" s="10"/>
      <c r="H142" s="49" t="s">
        <v>784</v>
      </c>
    </row>
    <row r="143" spans="1:8">
      <c r="A143" s="44">
        <v>141</v>
      </c>
      <c r="B143" s="59" t="s">
        <v>104</v>
      </c>
      <c r="C143" s="59" t="s">
        <v>785</v>
      </c>
      <c r="D143" s="59" t="s">
        <v>786</v>
      </c>
      <c r="E143" s="59" t="str">
        <f>IF(COUNTIF('Giriş Sayfası'!A:A,'TERCİH kontrol'!A143),"Tercihi Var","Tercihi Yok")</f>
        <v>Tercihi Var</v>
      </c>
      <c r="F143" s="10" t="s">
        <v>1159</v>
      </c>
      <c r="G143" s="10"/>
      <c r="H143" s="49" t="s">
        <v>787</v>
      </c>
    </row>
    <row r="144" spans="1:8" hidden="1">
      <c r="A144" s="44">
        <v>142</v>
      </c>
      <c r="B144" s="62" t="s">
        <v>104</v>
      </c>
      <c r="C144" s="62" t="s">
        <v>788</v>
      </c>
      <c r="D144" s="62" t="s">
        <v>279</v>
      </c>
      <c r="E144" s="62" t="str">
        <f>IF(COUNTIF('Giriş Sayfası'!A:A,'TERCİH kontrol'!A144),"Tercihi Var","Tercihi Yok")</f>
        <v>Tercihi Yok</v>
      </c>
      <c r="F144" s="10"/>
      <c r="G144" s="10"/>
      <c r="H144" s="49" t="s">
        <v>789</v>
      </c>
    </row>
    <row r="145" spans="1:8" hidden="1">
      <c r="A145" s="44">
        <v>143</v>
      </c>
      <c r="B145" s="62" t="s">
        <v>104</v>
      </c>
      <c r="C145" s="62" t="s">
        <v>295</v>
      </c>
      <c r="D145" s="62" t="s">
        <v>296</v>
      </c>
      <c r="E145" s="62" t="str">
        <f>IF(COUNTIF('Giriş Sayfası'!A:A,'TERCİH kontrol'!A145),"Tercihi Var","Tercihi Yok")</f>
        <v>Tercihi Yok</v>
      </c>
      <c r="F145" s="10" t="s">
        <v>1154</v>
      </c>
      <c r="G145" s="10" t="s">
        <v>1038</v>
      </c>
      <c r="H145" s="49" t="s">
        <v>443</v>
      </c>
    </row>
    <row r="146" spans="1:8">
      <c r="A146" s="44">
        <v>144</v>
      </c>
      <c r="B146" s="59" t="s">
        <v>104</v>
      </c>
      <c r="C146" s="59" t="s">
        <v>297</v>
      </c>
      <c r="D146" s="59" t="s">
        <v>298</v>
      </c>
      <c r="E146" s="59" t="str">
        <f>IF(COUNTIF('Giriş Sayfası'!A:A,'TERCİH kontrol'!A146),"Tercihi Var","Tercihi Yok")</f>
        <v>Tercihi Var</v>
      </c>
      <c r="F146" s="10" t="s">
        <v>1156</v>
      </c>
      <c r="G146" s="10"/>
      <c r="H146" s="49" t="s">
        <v>444</v>
      </c>
    </row>
    <row r="147" spans="1:8">
      <c r="A147" s="44">
        <v>145</v>
      </c>
      <c r="B147" s="59" t="s">
        <v>104</v>
      </c>
      <c r="C147" s="59" t="s">
        <v>25</v>
      </c>
      <c r="D147" s="59" t="s">
        <v>210</v>
      </c>
      <c r="E147" s="59" t="str">
        <f>IF(COUNTIF('Giriş Sayfası'!A:A,'TERCİH kontrol'!A147),"Tercihi Var","Tercihi Yok")</f>
        <v>Tercihi Var</v>
      </c>
      <c r="F147" s="10"/>
      <c r="G147" s="10" t="s">
        <v>1056</v>
      </c>
      <c r="H147" s="49" t="s">
        <v>790</v>
      </c>
    </row>
    <row r="148" spans="1:8">
      <c r="A148" s="44">
        <v>146</v>
      </c>
      <c r="B148" s="59" t="s">
        <v>104</v>
      </c>
      <c r="C148" s="59" t="s">
        <v>211</v>
      </c>
      <c r="D148" s="59" t="s">
        <v>182</v>
      </c>
      <c r="E148" s="59" t="str">
        <f>IF(COUNTIF('Giriş Sayfası'!A:A,'TERCİH kontrol'!A148),"Tercihi Var","Tercihi Yok")</f>
        <v>Tercihi Var</v>
      </c>
      <c r="F148" s="10"/>
      <c r="G148" s="10"/>
      <c r="H148" s="49" t="s">
        <v>445</v>
      </c>
    </row>
    <row r="149" spans="1:8" hidden="1">
      <c r="A149" s="44">
        <v>147</v>
      </c>
      <c r="B149" s="62" t="s">
        <v>104</v>
      </c>
      <c r="C149" s="62" t="s">
        <v>155</v>
      </c>
      <c r="D149" s="62" t="s">
        <v>231</v>
      </c>
      <c r="E149" s="62" t="str">
        <f>IF(COUNTIF('Giriş Sayfası'!A:A,'TERCİH kontrol'!A149),"Tercihi Var","Tercihi Yok")</f>
        <v>Tercihi Yok</v>
      </c>
      <c r="F149" s="10" t="s">
        <v>1157</v>
      </c>
      <c r="G149" s="10"/>
      <c r="H149" s="49" t="s">
        <v>504</v>
      </c>
    </row>
    <row r="150" spans="1:8" hidden="1">
      <c r="A150" s="44">
        <v>148</v>
      </c>
      <c r="B150" s="62" t="s">
        <v>104</v>
      </c>
      <c r="C150" s="62" t="s">
        <v>212</v>
      </c>
      <c r="D150" s="62" t="s">
        <v>213</v>
      </c>
      <c r="E150" s="62" t="str">
        <f>IF(COUNTIF('Giriş Sayfası'!A:A,'TERCİH kontrol'!A150),"Tercihi Var","Tercihi Yok")</f>
        <v>Tercihi Yok</v>
      </c>
      <c r="F150" s="10"/>
      <c r="G150" s="10"/>
      <c r="H150" s="49" t="s">
        <v>791</v>
      </c>
    </row>
    <row r="151" spans="1:8" hidden="1">
      <c r="A151" s="44">
        <v>149</v>
      </c>
      <c r="B151" s="62" t="s">
        <v>104</v>
      </c>
      <c r="C151" s="62" t="s">
        <v>344</v>
      </c>
      <c r="D151" s="62" t="s">
        <v>345</v>
      </c>
      <c r="E151" s="62" t="str">
        <f>IF(COUNTIF('Giriş Sayfası'!A:A,'TERCİH kontrol'!A151),"Tercihi Var","Tercihi Yok")</f>
        <v>Tercihi Yok</v>
      </c>
      <c r="F151" s="10" t="s">
        <v>1166</v>
      </c>
      <c r="G151" s="10" t="s">
        <v>1056</v>
      </c>
      <c r="H151" s="49" t="s">
        <v>496</v>
      </c>
    </row>
    <row r="152" spans="1:8" hidden="1">
      <c r="A152" s="44">
        <v>150</v>
      </c>
      <c r="B152" s="62" t="s">
        <v>104</v>
      </c>
      <c r="C152" s="62" t="s">
        <v>148</v>
      </c>
      <c r="D152" s="62" t="s">
        <v>18</v>
      </c>
      <c r="E152" s="62" t="str">
        <f>IF(COUNTIF('Giriş Sayfası'!A:A,'TERCİH kontrol'!A152),"Tercihi Var","Tercihi Yok")</f>
        <v>Tercihi Yok</v>
      </c>
      <c r="F152" s="10" t="s">
        <v>1161</v>
      </c>
      <c r="G152" s="10"/>
      <c r="H152" s="49" t="s">
        <v>1145</v>
      </c>
    </row>
    <row r="153" spans="1:8">
      <c r="A153" s="44">
        <v>151</v>
      </c>
      <c r="B153" s="59" t="s">
        <v>104</v>
      </c>
      <c r="C153" s="59" t="s">
        <v>792</v>
      </c>
      <c r="D153" s="59" t="s">
        <v>793</v>
      </c>
      <c r="E153" s="59" t="str">
        <f>IF(COUNTIF('Giriş Sayfası'!A:A,'TERCİH kontrol'!A153),"Tercihi Var","Tercihi Yok")</f>
        <v>Tercihi Var</v>
      </c>
      <c r="F153" s="10"/>
      <c r="G153" s="10" t="s">
        <v>1056</v>
      </c>
      <c r="H153" s="49" t="s">
        <v>794</v>
      </c>
    </row>
    <row r="154" spans="1:8">
      <c r="A154" s="44">
        <v>152</v>
      </c>
      <c r="B154" s="59" t="s">
        <v>104</v>
      </c>
      <c r="C154" s="59" t="s">
        <v>320</v>
      </c>
      <c r="D154" s="59" t="s">
        <v>795</v>
      </c>
      <c r="E154" s="59" t="str">
        <f>IF(COUNTIF('Giriş Sayfası'!A:A,'TERCİH kontrol'!A154),"Tercihi Var","Tercihi Yok")</f>
        <v>Tercihi Var</v>
      </c>
      <c r="F154" s="10"/>
      <c r="G154" s="10" t="s">
        <v>1056</v>
      </c>
      <c r="H154" s="49" t="s">
        <v>796</v>
      </c>
    </row>
    <row r="155" spans="1:8" hidden="1">
      <c r="A155" s="44">
        <v>153</v>
      </c>
      <c r="B155" s="62" t="s">
        <v>104</v>
      </c>
      <c r="C155" s="62" t="s">
        <v>214</v>
      </c>
      <c r="D155" s="62" t="s">
        <v>215</v>
      </c>
      <c r="E155" s="62" t="str">
        <f>IF(COUNTIF('Giriş Sayfası'!A:A,'TERCİH kontrol'!A155),"Tercihi Var","Tercihi Yok")</f>
        <v>Tercihi Yok</v>
      </c>
      <c r="F155" s="10" t="s">
        <v>1157</v>
      </c>
      <c r="G155" s="10"/>
      <c r="H155" s="49" t="s">
        <v>447</v>
      </c>
    </row>
    <row r="156" spans="1:8" hidden="1">
      <c r="A156" s="44">
        <v>154</v>
      </c>
      <c r="B156" s="62" t="s">
        <v>104</v>
      </c>
      <c r="C156" s="62" t="s">
        <v>299</v>
      </c>
      <c r="D156" s="62" t="s">
        <v>300</v>
      </c>
      <c r="E156" s="62" t="str">
        <f>IF(COUNTIF('Giriş Sayfası'!A:A,'TERCİH kontrol'!A156),"Tercihi Var","Tercihi Yok")</f>
        <v>Tercihi Yok</v>
      </c>
      <c r="F156" s="10" t="s">
        <v>1154</v>
      </c>
      <c r="G156" s="10" t="s">
        <v>1038</v>
      </c>
      <c r="H156" s="49" t="s">
        <v>797</v>
      </c>
    </row>
    <row r="157" spans="1:8">
      <c r="A157" s="44">
        <v>155</v>
      </c>
      <c r="B157" s="59" t="s">
        <v>104</v>
      </c>
      <c r="C157" s="59" t="s">
        <v>798</v>
      </c>
      <c r="D157" s="59" t="s">
        <v>693</v>
      </c>
      <c r="E157" s="59" t="str">
        <f>IF(COUNTIF('Giriş Sayfası'!A:A,'TERCİH kontrol'!A157),"Tercihi Var","Tercihi Yok")</f>
        <v>Tercihi Var</v>
      </c>
      <c r="F157" s="10"/>
      <c r="G157" s="10"/>
      <c r="H157" s="49" t="s">
        <v>1146</v>
      </c>
    </row>
    <row r="158" spans="1:8">
      <c r="A158" s="44">
        <v>156</v>
      </c>
      <c r="B158" s="59" t="s">
        <v>104</v>
      </c>
      <c r="C158" s="59" t="s">
        <v>800</v>
      </c>
      <c r="D158" s="59" t="s">
        <v>113</v>
      </c>
      <c r="E158" s="59" t="str">
        <f>IF(COUNTIF('Giriş Sayfası'!A:A,'TERCİH kontrol'!A158),"Tercihi Var","Tercihi Yok")</f>
        <v>Tercihi Var</v>
      </c>
      <c r="F158" s="10"/>
      <c r="G158" s="10" t="s">
        <v>1158</v>
      </c>
      <c r="H158" s="49" t="s">
        <v>801</v>
      </c>
    </row>
    <row r="159" spans="1:8" hidden="1">
      <c r="A159" s="44">
        <v>157</v>
      </c>
      <c r="B159" s="62" t="s">
        <v>104</v>
      </c>
      <c r="C159" s="62" t="s">
        <v>301</v>
      </c>
      <c r="D159" s="62" t="s">
        <v>302</v>
      </c>
      <c r="E159" s="62" t="str">
        <f>IF(COUNTIF('Giriş Sayfası'!A:A,'TERCİH kontrol'!A159),"Tercihi Var","Tercihi Yok")</f>
        <v>Tercihi Yok</v>
      </c>
      <c r="F159" s="10"/>
      <c r="G159" s="10"/>
      <c r="H159" s="49" t="s">
        <v>449</v>
      </c>
    </row>
    <row r="160" spans="1:8" hidden="1">
      <c r="A160" s="44">
        <v>158</v>
      </c>
      <c r="B160" s="62" t="s">
        <v>104</v>
      </c>
      <c r="C160" s="62" t="s">
        <v>217</v>
      </c>
      <c r="D160" s="62" t="s">
        <v>120</v>
      </c>
      <c r="E160" s="62" t="str">
        <f>IF(COUNTIF('Giriş Sayfası'!A:A,'TERCİH kontrol'!A160),"Tercihi Var","Tercihi Yok")</f>
        <v>Tercihi Yok</v>
      </c>
      <c r="F160" s="10"/>
      <c r="G160" s="10"/>
      <c r="H160" s="49" t="s">
        <v>450</v>
      </c>
    </row>
    <row r="161" spans="1:8" hidden="1">
      <c r="A161" s="44">
        <v>159</v>
      </c>
      <c r="B161" s="62" t="s">
        <v>104</v>
      </c>
      <c r="C161" s="62" t="s">
        <v>219</v>
      </c>
      <c r="D161" s="62" t="s">
        <v>190</v>
      </c>
      <c r="E161" s="62" t="str">
        <f>IF(COUNTIF('Giriş Sayfası'!A:A,'TERCİH kontrol'!A161),"Tercihi Var","Tercihi Yok")</f>
        <v>Tercihi Yok</v>
      </c>
      <c r="F161" s="10"/>
      <c r="G161" s="10"/>
      <c r="H161" s="49" t="s">
        <v>451</v>
      </c>
    </row>
    <row r="162" spans="1:8" hidden="1">
      <c r="A162" s="44">
        <v>160</v>
      </c>
      <c r="B162" s="62" t="s">
        <v>104</v>
      </c>
      <c r="C162" s="62" t="s">
        <v>115</v>
      </c>
      <c r="D162" s="62" t="s">
        <v>220</v>
      </c>
      <c r="E162" s="62" t="str">
        <f>IF(COUNTIF('Giriş Sayfası'!A:A,'TERCİH kontrol'!A162),"Tercihi Var","Tercihi Yok")</f>
        <v>Tercihi Yok</v>
      </c>
      <c r="F162" s="10"/>
      <c r="G162" s="10"/>
      <c r="H162" s="49" t="s">
        <v>1147</v>
      </c>
    </row>
    <row r="163" spans="1:8">
      <c r="A163" s="44">
        <v>161</v>
      </c>
      <c r="B163" s="59" t="s">
        <v>104</v>
      </c>
      <c r="C163" s="59" t="s">
        <v>303</v>
      </c>
      <c r="D163" s="59" t="s">
        <v>304</v>
      </c>
      <c r="E163" s="59" t="str">
        <f>IF(COUNTIF('Giriş Sayfası'!A:A,'TERCİH kontrol'!A163),"Tercihi Var","Tercihi Yok")</f>
        <v>Tercihi Var</v>
      </c>
      <c r="F163" s="10"/>
      <c r="G163" s="10" t="s">
        <v>1040</v>
      </c>
      <c r="H163" s="49" t="s">
        <v>453</v>
      </c>
    </row>
    <row r="164" spans="1:8">
      <c r="A164" s="44">
        <v>163</v>
      </c>
      <c r="B164" s="59" t="s">
        <v>111</v>
      </c>
      <c r="C164" s="59" t="s">
        <v>802</v>
      </c>
      <c r="D164" s="59" t="s">
        <v>282</v>
      </c>
      <c r="E164" s="59" t="str">
        <f>IF(COUNTIF('Giriş Sayfası'!A:A,'TERCİH kontrol'!A164),"Tercihi Var","Tercihi Yok")</f>
        <v>Tercihi Var</v>
      </c>
      <c r="F164" s="10"/>
      <c r="G164" s="10"/>
      <c r="H164" s="49" t="s">
        <v>803</v>
      </c>
    </row>
    <row r="165" spans="1:8">
      <c r="A165" s="44">
        <v>164</v>
      </c>
      <c r="B165" s="59" t="s">
        <v>111</v>
      </c>
      <c r="C165" s="59" t="s">
        <v>339</v>
      </c>
      <c r="D165" s="59" t="s">
        <v>340</v>
      </c>
      <c r="E165" s="59" t="str">
        <f>IF(COUNTIF('Giriş Sayfası'!A:A,'TERCİH kontrol'!A165),"Tercihi Var","Tercihi Yok")</f>
        <v>Tercihi Var</v>
      </c>
      <c r="F165" s="10"/>
      <c r="G165" s="10"/>
      <c r="H165" s="49" t="s">
        <v>490</v>
      </c>
    </row>
    <row r="166" spans="1:8" hidden="1">
      <c r="A166" s="44">
        <v>165</v>
      </c>
      <c r="B166" s="62" t="s">
        <v>111</v>
      </c>
      <c r="C166" s="62" t="s">
        <v>221</v>
      </c>
      <c r="D166" s="62" t="s">
        <v>84</v>
      </c>
      <c r="E166" s="62" t="str">
        <f>IF(COUNTIF('Giriş Sayfası'!A:A,'TERCİH kontrol'!A166),"Tercihi Var","Tercihi Yok")</f>
        <v>Tercihi Yok</v>
      </c>
      <c r="F166" s="10" t="s">
        <v>1154</v>
      </c>
      <c r="G166" s="10" t="s">
        <v>1038</v>
      </c>
      <c r="H166" s="49" t="s">
        <v>455</v>
      </c>
    </row>
    <row r="167" spans="1:8" hidden="1">
      <c r="A167" s="44">
        <v>166</v>
      </c>
      <c r="B167" s="62" t="s">
        <v>111</v>
      </c>
      <c r="C167" s="62" t="s">
        <v>25</v>
      </c>
      <c r="D167" s="62" t="s">
        <v>307</v>
      </c>
      <c r="E167" s="62" t="str">
        <f>IF(COUNTIF('Giriş Sayfası'!A:A,'TERCİH kontrol'!A167),"Tercihi Var","Tercihi Yok")</f>
        <v>Tercihi Yok</v>
      </c>
      <c r="F167" s="10"/>
      <c r="G167" s="10" t="s">
        <v>1056</v>
      </c>
      <c r="H167" s="49" t="s">
        <v>456</v>
      </c>
    </row>
    <row r="168" spans="1:8">
      <c r="A168" s="44">
        <v>167</v>
      </c>
      <c r="B168" s="59" t="s">
        <v>111</v>
      </c>
      <c r="C168" s="59" t="s">
        <v>804</v>
      </c>
      <c r="D168" s="59" t="s">
        <v>805</v>
      </c>
      <c r="E168" s="59" t="str">
        <f>IF(COUNTIF('Giriş Sayfası'!A:A,'TERCİH kontrol'!A168),"Tercihi Var","Tercihi Yok")</f>
        <v>Tercihi Var</v>
      </c>
      <c r="F168" s="10"/>
      <c r="G168" s="10"/>
      <c r="H168" s="49" t="s">
        <v>806</v>
      </c>
    </row>
    <row r="169" spans="1:8">
      <c r="A169" s="44">
        <v>168</v>
      </c>
      <c r="B169" s="59" t="s">
        <v>111</v>
      </c>
      <c r="C169" s="59" t="s">
        <v>807</v>
      </c>
      <c r="D169" s="59" t="s">
        <v>306</v>
      </c>
      <c r="E169" s="59" t="str">
        <f>IF(COUNTIF('Giriş Sayfası'!A:A,'TERCİH kontrol'!A169),"Tercihi Var","Tercihi Yok")</f>
        <v>Tercihi Var</v>
      </c>
      <c r="F169" s="10"/>
      <c r="G169" s="10"/>
      <c r="H169" s="49" t="s">
        <v>808</v>
      </c>
    </row>
    <row r="170" spans="1:8">
      <c r="A170" s="44">
        <v>169</v>
      </c>
      <c r="B170" s="59" t="s">
        <v>111</v>
      </c>
      <c r="C170" s="59" t="s">
        <v>809</v>
      </c>
      <c r="D170" s="59" t="s">
        <v>1111</v>
      </c>
      <c r="E170" s="59" t="str">
        <f>IF(COUNTIF('Giriş Sayfası'!A:A,'TERCİH kontrol'!A170),"Tercihi Var","Tercihi Yok")</f>
        <v>Tercihi Var</v>
      </c>
      <c r="F170" s="10" t="s">
        <v>1159</v>
      </c>
      <c r="G170" s="10"/>
      <c r="H170" s="49" t="s">
        <v>1148</v>
      </c>
    </row>
    <row r="171" spans="1:8" hidden="1">
      <c r="A171" s="44">
        <v>170</v>
      </c>
      <c r="B171" s="62" t="s">
        <v>111</v>
      </c>
      <c r="C171" s="62" t="s">
        <v>71</v>
      </c>
      <c r="D171" s="62" t="s">
        <v>86</v>
      </c>
      <c r="E171" s="62" t="str">
        <f>IF(COUNTIF('Giriş Sayfası'!A:A,'TERCİH kontrol'!A171),"Tercihi Var","Tercihi Yok")</f>
        <v>Tercihi Yok</v>
      </c>
      <c r="F171" s="10"/>
      <c r="G171" s="10"/>
      <c r="H171" s="49" t="s">
        <v>1167</v>
      </c>
    </row>
    <row r="172" spans="1:8" hidden="1">
      <c r="A172" s="44">
        <v>171</v>
      </c>
      <c r="B172" s="62" t="s">
        <v>112</v>
      </c>
      <c r="C172" s="62" t="s">
        <v>222</v>
      </c>
      <c r="D172" s="62" t="s">
        <v>309</v>
      </c>
      <c r="E172" s="62" t="str">
        <f>IF(COUNTIF('Giriş Sayfası'!A:A,'TERCİH kontrol'!A172),"Tercihi Var","Tercihi Yok")</f>
        <v>Tercihi Yok</v>
      </c>
      <c r="F172" s="10" t="s">
        <v>1157</v>
      </c>
      <c r="G172" s="10"/>
      <c r="H172" s="49" t="s">
        <v>521</v>
      </c>
    </row>
    <row r="173" spans="1:8">
      <c r="A173" s="44">
        <v>172</v>
      </c>
      <c r="B173" s="59" t="s">
        <v>112</v>
      </c>
      <c r="C173" s="59" t="s">
        <v>155</v>
      </c>
      <c r="D173" s="59" t="s">
        <v>310</v>
      </c>
      <c r="E173" s="59" t="str">
        <f>IF(COUNTIF('Giriş Sayfası'!A:A,'TERCİH kontrol'!A173),"Tercihi Var","Tercihi Yok")</f>
        <v>Tercihi Var</v>
      </c>
      <c r="F173" s="10"/>
      <c r="G173" s="10"/>
      <c r="H173" s="49" t="s">
        <v>458</v>
      </c>
    </row>
    <row r="174" spans="1:8">
      <c r="A174" s="44">
        <v>173</v>
      </c>
      <c r="B174" s="59" t="s">
        <v>112</v>
      </c>
      <c r="C174" s="59" t="s">
        <v>811</v>
      </c>
      <c r="D174" s="59" t="s">
        <v>812</v>
      </c>
      <c r="E174" s="59" t="str">
        <f>IF(COUNTIF('Giriş Sayfası'!A:A,'TERCİH kontrol'!A174),"Tercihi Var","Tercihi Yok")</f>
        <v>Tercihi Var</v>
      </c>
      <c r="F174" s="10"/>
      <c r="G174" s="10"/>
      <c r="H174" s="49" t="s">
        <v>813</v>
      </c>
    </row>
    <row r="175" spans="1:8" hidden="1">
      <c r="A175" s="44">
        <v>174</v>
      </c>
      <c r="B175" s="62" t="s">
        <v>112</v>
      </c>
      <c r="C175" s="62" t="s">
        <v>184</v>
      </c>
      <c r="D175" s="62" t="s">
        <v>16</v>
      </c>
      <c r="E175" s="62" t="str">
        <f>IF(COUNTIF('Giriş Sayfası'!A:A,'TERCİH kontrol'!A175),"Tercihi Var","Tercihi Yok")</f>
        <v>Tercihi Yok</v>
      </c>
      <c r="F175" s="10" t="s">
        <v>1153</v>
      </c>
      <c r="G175" s="10"/>
      <c r="H175" s="49" t="s">
        <v>814</v>
      </c>
    </row>
    <row r="176" spans="1:8" hidden="1">
      <c r="A176" s="44">
        <v>175</v>
      </c>
      <c r="B176" s="62" t="s">
        <v>112</v>
      </c>
      <c r="C176" s="62" t="s">
        <v>815</v>
      </c>
      <c r="D176" s="62" t="s">
        <v>816</v>
      </c>
      <c r="E176" s="62" t="str">
        <f>IF(COUNTIF('Giriş Sayfası'!A:A,'TERCİH kontrol'!A176),"Tercihi Var","Tercihi Yok")</f>
        <v>Tercihi Yok</v>
      </c>
      <c r="F176" s="10"/>
      <c r="G176" s="10"/>
      <c r="H176" s="49" t="s">
        <v>817</v>
      </c>
    </row>
    <row r="177" spans="1:8" hidden="1">
      <c r="A177" s="44">
        <v>176</v>
      </c>
      <c r="B177" s="62" t="s">
        <v>112</v>
      </c>
      <c r="C177" s="62" t="s">
        <v>115</v>
      </c>
      <c r="D177" s="62" t="s">
        <v>223</v>
      </c>
      <c r="E177" s="62" t="str">
        <f>IF(COUNTIF('Giriş Sayfası'!A:A,'TERCİH kontrol'!A177),"Tercihi Var","Tercihi Yok")</f>
        <v>Tercihi Yok</v>
      </c>
      <c r="F177" s="10" t="s">
        <v>1154</v>
      </c>
      <c r="G177" s="10" t="s">
        <v>1038</v>
      </c>
      <c r="H177" s="49" t="s">
        <v>818</v>
      </c>
    </row>
    <row r="178" spans="1:8">
      <c r="A178" s="44">
        <v>177</v>
      </c>
      <c r="B178" s="59" t="s">
        <v>114</v>
      </c>
      <c r="C178" s="59" t="s">
        <v>819</v>
      </c>
      <c r="D178" s="59" t="s">
        <v>820</v>
      </c>
      <c r="E178" s="59" t="str">
        <f>IF(COUNTIF('Giriş Sayfası'!A:A,'TERCİH kontrol'!A178),"Tercihi Var","Tercihi Yok")</f>
        <v>Tercihi Var</v>
      </c>
      <c r="F178" s="10"/>
      <c r="G178" s="10"/>
      <c r="H178" s="49" t="s">
        <v>821</v>
      </c>
    </row>
    <row r="179" spans="1:8">
      <c r="A179" s="44">
        <v>178</v>
      </c>
      <c r="B179" s="59" t="s">
        <v>114</v>
      </c>
      <c r="C179" s="59" t="s">
        <v>115</v>
      </c>
      <c r="D179" s="59" t="s">
        <v>822</v>
      </c>
      <c r="E179" s="59" t="str">
        <f>IF(COUNTIF('Giriş Sayfası'!A:A,'TERCİH kontrol'!A179),"Tercihi Var","Tercihi Yok")</f>
        <v>Tercihi Var</v>
      </c>
      <c r="F179" s="10"/>
      <c r="G179" s="10"/>
      <c r="H179" s="49" t="s">
        <v>823</v>
      </c>
    </row>
    <row r="180" spans="1:8">
      <c r="A180" s="44">
        <v>179</v>
      </c>
      <c r="B180" s="59" t="s">
        <v>116</v>
      </c>
      <c r="C180" s="59" t="s">
        <v>824</v>
      </c>
      <c r="D180" s="59" t="s">
        <v>825</v>
      </c>
      <c r="E180" s="59" t="str">
        <f>IF(COUNTIF('Giriş Sayfası'!A:A,'TERCİH kontrol'!A180),"Tercihi Var","Tercihi Yok")</f>
        <v>Tercihi Var</v>
      </c>
      <c r="F180" s="10"/>
      <c r="G180" s="10"/>
      <c r="H180" s="49" t="s">
        <v>826</v>
      </c>
    </row>
    <row r="181" spans="1:8" hidden="1">
      <c r="A181" s="44">
        <v>180</v>
      </c>
      <c r="B181" s="62" t="s">
        <v>116</v>
      </c>
      <c r="C181" s="62" t="s">
        <v>226</v>
      </c>
      <c r="D181" s="62" t="s">
        <v>89</v>
      </c>
      <c r="E181" s="62" t="str">
        <f>IF(COUNTIF('Giriş Sayfası'!A:A,'TERCİH kontrol'!A181),"Tercihi Var","Tercihi Yok")</f>
        <v>Tercihi Yok</v>
      </c>
      <c r="F181" s="10"/>
      <c r="G181" s="10"/>
      <c r="H181" s="49" t="s">
        <v>459</v>
      </c>
    </row>
    <row r="182" spans="1:8" hidden="1">
      <c r="A182" s="44">
        <v>181</v>
      </c>
      <c r="B182" s="62" t="s">
        <v>118</v>
      </c>
      <c r="C182" s="62" t="s">
        <v>75</v>
      </c>
      <c r="D182" s="62" t="s">
        <v>16</v>
      </c>
      <c r="E182" s="62" t="str">
        <f>IF(COUNTIF('Giriş Sayfası'!A:A,'TERCİH kontrol'!A182),"Tercihi Var","Tercihi Yok")</f>
        <v>Tercihi Yok</v>
      </c>
      <c r="F182" s="10"/>
      <c r="G182" s="10" t="s">
        <v>1056</v>
      </c>
      <c r="H182" s="49" t="s">
        <v>460</v>
      </c>
    </row>
    <row r="183" spans="1:8" hidden="1">
      <c r="A183" s="44">
        <v>182</v>
      </c>
      <c r="B183" s="62" t="s">
        <v>118</v>
      </c>
      <c r="C183" s="62" t="s">
        <v>155</v>
      </c>
      <c r="D183" s="62" t="s">
        <v>827</v>
      </c>
      <c r="E183" s="62" t="str">
        <f>IF(COUNTIF('Giriş Sayfası'!A:A,'TERCİH kontrol'!A183),"Tercihi Var","Tercihi Yok")</f>
        <v>Tercihi Yok</v>
      </c>
      <c r="F183" s="10" t="s">
        <v>1157</v>
      </c>
      <c r="G183" s="10"/>
      <c r="H183" s="49" t="s">
        <v>828</v>
      </c>
    </row>
    <row r="184" spans="1:8">
      <c r="A184" s="44">
        <v>183</v>
      </c>
      <c r="B184" s="59" t="s">
        <v>119</v>
      </c>
      <c r="C184" s="59" t="s">
        <v>12</v>
      </c>
      <c r="D184" s="59" t="s">
        <v>61</v>
      </c>
      <c r="E184" s="59" t="str">
        <f>IF(COUNTIF('Giriş Sayfası'!A:A,'TERCİH kontrol'!A184),"Tercihi Var","Tercihi Yok")</f>
        <v>Tercihi Var</v>
      </c>
      <c r="F184" s="10"/>
      <c r="G184" s="10"/>
      <c r="H184" s="49" t="s">
        <v>461</v>
      </c>
    </row>
    <row r="185" spans="1:8" hidden="1">
      <c r="A185" s="44">
        <v>184</v>
      </c>
      <c r="B185" s="62" t="s">
        <v>119</v>
      </c>
      <c r="C185" s="62" t="s">
        <v>121</v>
      </c>
      <c r="D185" s="62" t="s">
        <v>122</v>
      </c>
      <c r="E185" s="62" t="str">
        <f>IF(COUNTIF('Giriş Sayfası'!A:A,'TERCİH kontrol'!A185),"Tercihi Var","Tercihi Yok")</f>
        <v>Tercihi Yok</v>
      </c>
      <c r="F185" s="10"/>
      <c r="G185" s="10"/>
      <c r="H185" s="49" t="s">
        <v>462</v>
      </c>
    </row>
    <row r="186" spans="1:8" hidden="1">
      <c r="A186" s="44">
        <v>185</v>
      </c>
      <c r="B186" s="62" t="s">
        <v>123</v>
      </c>
      <c r="C186" s="62" t="s">
        <v>124</v>
      </c>
      <c r="D186" s="62" t="s">
        <v>100</v>
      </c>
      <c r="E186" s="62" t="str">
        <f>IF(COUNTIF('Giriş Sayfası'!A:A,'TERCİH kontrol'!A186),"Tercihi Var","Tercihi Yok")</f>
        <v>Tercihi Yok</v>
      </c>
      <c r="F186" s="10" t="s">
        <v>1157</v>
      </c>
      <c r="G186" s="10"/>
      <c r="H186" s="49" t="s">
        <v>522</v>
      </c>
    </row>
    <row r="187" spans="1:8">
      <c r="A187" s="44">
        <v>186</v>
      </c>
      <c r="B187" s="59" t="s">
        <v>123</v>
      </c>
      <c r="C187" s="59" t="s">
        <v>125</v>
      </c>
      <c r="D187" s="59" t="s">
        <v>312</v>
      </c>
      <c r="E187" s="59" t="str">
        <f>IF(COUNTIF('Giriş Sayfası'!A:A,'TERCİH kontrol'!A187),"Tercihi Var","Tercihi Yok")</f>
        <v>Tercihi Var</v>
      </c>
      <c r="F187" s="10" t="s">
        <v>1156</v>
      </c>
      <c r="G187" s="10"/>
      <c r="H187" s="49" t="s">
        <v>463</v>
      </c>
    </row>
    <row r="188" spans="1:8">
      <c r="A188" s="44">
        <v>187</v>
      </c>
      <c r="B188" s="59" t="s">
        <v>123</v>
      </c>
      <c r="C188" s="59" t="s">
        <v>313</v>
      </c>
      <c r="D188" s="59" t="s">
        <v>314</v>
      </c>
      <c r="E188" s="59" t="str">
        <f>IF(COUNTIF('Giriş Sayfası'!A:A,'TERCİH kontrol'!A188),"Tercihi Var","Tercihi Yok")</f>
        <v>Tercihi Var</v>
      </c>
      <c r="F188" s="10"/>
      <c r="G188" s="10"/>
      <c r="H188" s="49" t="s">
        <v>464</v>
      </c>
    </row>
    <row r="189" spans="1:8" hidden="1">
      <c r="A189" s="44">
        <v>188</v>
      </c>
      <c r="B189" s="62" t="s">
        <v>123</v>
      </c>
      <c r="C189" s="62" t="s">
        <v>315</v>
      </c>
      <c r="D189" s="62" t="s">
        <v>18</v>
      </c>
      <c r="E189" s="62" t="str">
        <f>IF(COUNTIF('Giriş Sayfası'!A:A,'TERCİH kontrol'!A189),"Tercihi Var","Tercihi Yok")</f>
        <v>Tercihi Yok</v>
      </c>
      <c r="F189" s="10" t="s">
        <v>1154</v>
      </c>
      <c r="G189" s="10" t="s">
        <v>1038</v>
      </c>
      <c r="H189" s="49" t="s">
        <v>465</v>
      </c>
    </row>
    <row r="190" spans="1:8">
      <c r="A190" s="44">
        <v>189</v>
      </c>
      <c r="B190" s="59" t="s">
        <v>123</v>
      </c>
      <c r="C190" s="59" t="s">
        <v>225</v>
      </c>
      <c r="D190" s="59" t="s">
        <v>46</v>
      </c>
      <c r="E190" s="59" t="str">
        <f>IF(COUNTIF('Giriş Sayfası'!A:A,'TERCİH kontrol'!A190),"Tercihi Var","Tercihi Yok")</f>
        <v>Tercihi Var</v>
      </c>
      <c r="F190" s="10"/>
      <c r="G190" s="10"/>
      <c r="H190" s="49" t="s">
        <v>466</v>
      </c>
    </row>
    <row r="191" spans="1:8" hidden="1">
      <c r="A191" s="44">
        <v>190</v>
      </c>
      <c r="B191" s="62" t="s">
        <v>123</v>
      </c>
      <c r="C191" s="62" t="s">
        <v>126</v>
      </c>
      <c r="D191" s="62" t="s">
        <v>127</v>
      </c>
      <c r="E191" s="62" t="str">
        <f>IF(COUNTIF('Giriş Sayfası'!A:A,'TERCİH kontrol'!A191),"Tercihi Var","Tercihi Yok")</f>
        <v>Tercihi Yok</v>
      </c>
      <c r="F191" s="10"/>
      <c r="G191" s="10"/>
      <c r="H191" s="49" t="s">
        <v>467</v>
      </c>
    </row>
    <row r="192" spans="1:8" hidden="1">
      <c r="A192" s="44">
        <v>191</v>
      </c>
      <c r="B192" s="62" t="s">
        <v>128</v>
      </c>
      <c r="C192" s="62" t="s">
        <v>197</v>
      </c>
      <c r="D192" s="62" t="s">
        <v>160</v>
      </c>
      <c r="E192" s="62" t="str">
        <f>IF(COUNTIF('Giriş Sayfası'!A:A,'TERCİH kontrol'!A192),"Tercihi Var","Tercihi Yok")</f>
        <v>Tercihi Yok</v>
      </c>
      <c r="F192" s="10" t="s">
        <v>1153</v>
      </c>
      <c r="G192" s="10"/>
      <c r="H192" s="49" t="s">
        <v>468</v>
      </c>
    </row>
    <row r="193" spans="1:8">
      <c r="A193" s="44">
        <v>192</v>
      </c>
      <c r="B193" s="59" t="s">
        <v>129</v>
      </c>
      <c r="C193" s="59" t="s">
        <v>316</v>
      </c>
      <c r="D193" s="59" t="s">
        <v>317</v>
      </c>
      <c r="E193" s="59" t="str">
        <f>IF(COUNTIF('Giriş Sayfası'!A:A,'TERCİH kontrol'!A193),"Tercihi Var","Tercihi Yok")</f>
        <v>Tercihi Var</v>
      </c>
      <c r="F193" s="10" t="s">
        <v>1153</v>
      </c>
      <c r="G193" s="10"/>
      <c r="H193" s="49" t="s">
        <v>469</v>
      </c>
    </row>
    <row r="194" spans="1:8">
      <c r="A194" s="44">
        <v>193</v>
      </c>
      <c r="B194" s="59" t="s">
        <v>130</v>
      </c>
      <c r="C194" s="59" t="s">
        <v>829</v>
      </c>
      <c r="D194" s="59" t="s">
        <v>100</v>
      </c>
      <c r="E194" s="59" t="str">
        <f>IF(COUNTIF('Giriş Sayfası'!A:A,'TERCİH kontrol'!A194),"Tercihi Var","Tercihi Yok")</f>
        <v>Tercihi Var</v>
      </c>
      <c r="F194" s="10"/>
      <c r="G194" s="10"/>
      <c r="H194" s="49" t="s">
        <v>830</v>
      </c>
    </row>
    <row r="195" spans="1:8" hidden="1">
      <c r="A195" s="44">
        <v>194</v>
      </c>
      <c r="B195" s="62" t="s">
        <v>132</v>
      </c>
      <c r="C195" s="62" t="s">
        <v>831</v>
      </c>
      <c r="D195" s="62" t="s">
        <v>832</v>
      </c>
      <c r="E195" s="62" t="str">
        <f>IF(COUNTIF('Giriş Sayfası'!A:A,'TERCİH kontrol'!A195),"Tercihi Var","Tercihi Yok")</f>
        <v>Tercihi Yok</v>
      </c>
      <c r="F195" s="10"/>
      <c r="G195" s="10"/>
      <c r="H195" s="49" t="s">
        <v>833</v>
      </c>
    </row>
    <row r="196" spans="1:8" hidden="1">
      <c r="A196" s="44">
        <v>195</v>
      </c>
      <c r="B196" s="62" t="s">
        <v>132</v>
      </c>
      <c r="C196" s="62" t="s">
        <v>318</v>
      </c>
      <c r="D196" s="62" t="s">
        <v>319</v>
      </c>
      <c r="E196" s="62" t="str">
        <f>IF(COUNTIF('Giriş Sayfası'!A:A,'TERCİH kontrol'!A196),"Tercihi Var","Tercihi Yok")</f>
        <v>Tercihi Yok</v>
      </c>
      <c r="F196" s="10"/>
      <c r="G196" s="10"/>
      <c r="H196" s="49" t="s">
        <v>470</v>
      </c>
    </row>
    <row r="197" spans="1:8">
      <c r="A197" s="44">
        <v>196</v>
      </c>
      <c r="B197" s="59" t="s">
        <v>133</v>
      </c>
      <c r="C197" s="59" t="s">
        <v>192</v>
      </c>
      <c r="D197" s="59" t="s">
        <v>311</v>
      </c>
      <c r="E197" s="59" t="str">
        <f>IF(COUNTIF('Giriş Sayfası'!A:A,'TERCİH kontrol'!A197),"Tercihi Var","Tercihi Yok")</f>
        <v>Tercihi Var</v>
      </c>
      <c r="F197" s="10"/>
      <c r="G197" s="10"/>
      <c r="H197" s="49" t="s">
        <v>471</v>
      </c>
    </row>
    <row r="198" spans="1:8" hidden="1">
      <c r="A198" s="44">
        <v>197</v>
      </c>
      <c r="B198" s="62" t="s">
        <v>133</v>
      </c>
      <c r="C198" s="62" t="s">
        <v>134</v>
      </c>
      <c r="D198" s="62" t="s">
        <v>135</v>
      </c>
      <c r="E198" s="62" t="str">
        <f>IF(COUNTIF('Giriş Sayfası'!A:A,'TERCİH kontrol'!A198),"Tercihi Var","Tercihi Yok")</f>
        <v>Tercihi Yok</v>
      </c>
      <c r="F198" s="10"/>
      <c r="G198" s="10"/>
      <c r="H198" s="49" t="s">
        <v>472</v>
      </c>
    </row>
    <row r="199" spans="1:8">
      <c r="A199" s="44">
        <v>198</v>
      </c>
      <c r="B199" s="59" t="s">
        <v>133</v>
      </c>
      <c r="C199" s="59" t="s">
        <v>321</v>
      </c>
      <c r="D199" s="59" t="s">
        <v>322</v>
      </c>
      <c r="E199" s="59" t="str">
        <f>IF(COUNTIF('Giriş Sayfası'!A:A,'TERCİH kontrol'!A199),"Tercihi Var","Tercihi Yok")</f>
        <v>Tercihi Var</v>
      </c>
      <c r="F199" s="10"/>
      <c r="G199" s="10"/>
      <c r="H199" s="49" t="s">
        <v>473</v>
      </c>
    </row>
    <row r="200" spans="1:8">
      <c r="A200" s="44">
        <v>199</v>
      </c>
      <c r="B200" s="59" t="s">
        <v>133</v>
      </c>
      <c r="C200" s="59" t="s">
        <v>226</v>
      </c>
      <c r="D200" s="59" t="s">
        <v>227</v>
      </c>
      <c r="E200" s="59" t="str">
        <f>IF(COUNTIF('Giriş Sayfası'!A:A,'TERCİH kontrol'!A200),"Tercihi Var","Tercihi Yok")</f>
        <v>Tercihi Var</v>
      </c>
      <c r="F200" s="10"/>
      <c r="G200" s="10" t="s">
        <v>1048</v>
      </c>
      <c r="H200" s="49" t="s">
        <v>474</v>
      </c>
    </row>
    <row r="201" spans="1:8" hidden="1">
      <c r="A201" s="44">
        <v>200</v>
      </c>
      <c r="B201" s="62" t="s">
        <v>133</v>
      </c>
      <c r="C201" s="62" t="s">
        <v>323</v>
      </c>
      <c r="D201" s="62" t="s">
        <v>33</v>
      </c>
      <c r="E201" s="62" t="str">
        <f>IF(COUNTIF('Giriş Sayfası'!A:A,'TERCİH kontrol'!A201),"Tercihi Var","Tercihi Yok")</f>
        <v>Tercihi Yok</v>
      </c>
      <c r="F201" s="10"/>
      <c r="G201" s="10"/>
      <c r="H201" s="49" t="s">
        <v>475</v>
      </c>
    </row>
    <row r="202" spans="1:8" hidden="1">
      <c r="A202" s="44">
        <v>201</v>
      </c>
      <c r="B202" s="62" t="s">
        <v>133</v>
      </c>
      <c r="C202" s="62" t="s">
        <v>56</v>
      </c>
      <c r="D202" s="62" t="s">
        <v>324</v>
      </c>
      <c r="E202" s="62" t="str">
        <f>IF(COUNTIF('Giriş Sayfası'!A:A,'TERCİH kontrol'!A202),"Tercihi Var","Tercihi Yok")</f>
        <v>Tercihi Yok</v>
      </c>
      <c r="F202" s="10"/>
      <c r="G202" s="10"/>
      <c r="H202" s="49" t="s">
        <v>476</v>
      </c>
    </row>
    <row r="203" spans="1:8" hidden="1">
      <c r="A203" s="44">
        <v>202</v>
      </c>
      <c r="B203" s="62" t="s">
        <v>133</v>
      </c>
      <c r="C203" s="62" t="s">
        <v>834</v>
      </c>
      <c r="D203" s="62" t="s">
        <v>262</v>
      </c>
      <c r="E203" s="62" t="str">
        <f>IF(COUNTIF('Giriş Sayfası'!A:A,'TERCİH kontrol'!A203),"Tercihi Var","Tercihi Yok")</f>
        <v>Tercihi Yok</v>
      </c>
      <c r="F203" s="10"/>
      <c r="G203" s="10" t="s">
        <v>1056</v>
      </c>
      <c r="H203" s="49" t="s">
        <v>835</v>
      </c>
    </row>
    <row r="204" spans="1:8" hidden="1">
      <c r="A204" s="44">
        <v>203</v>
      </c>
      <c r="B204" s="62" t="s">
        <v>136</v>
      </c>
      <c r="C204" s="62" t="s">
        <v>325</v>
      </c>
      <c r="D204" s="62" t="s">
        <v>131</v>
      </c>
      <c r="E204" s="62" t="str">
        <f>IF(COUNTIF('Giriş Sayfası'!A:A,'TERCİH kontrol'!A204),"Tercihi Var","Tercihi Yok")</f>
        <v>Tercihi Yok</v>
      </c>
      <c r="F204" s="10"/>
      <c r="G204" s="10"/>
      <c r="H204" s="49" t="s">
        <v>477</v>
      </c>
    </row>
    <row r="205" spans="1:8" hidden="1">
      <c r="A205" s="44">
        <v>204</v>
      </c>
      <c r="B205" s="62" t="s">
        <v>136</v>
      </c>
      <c r="C205" s="62" t="s">
        <v>232</v>
      </c>
      <c r="D205" s="62" t="s">
        <v>273</v>
      </c>
      <c r="E205" s="62" t="str">
        <f>IF(COUNTIF('Giriş Sayfası'!A:A,'TERCİH kontrol'!A205),"Tercihi Var","Tercihi Yok")</f>
        <v>Tercihi Yok</v>
      </c>
      <c r="F205" s="10" t="s">
        <v>1157</v>
      </c>
      <c r="G205" s="10"/>
      <c r="H205" s="49" t="s">
        <v>836</v>
      </c>
    </row>
    <row r="206" spans="1:8" hidden="1">
      <c r="A206" s="44">
        <v>205</v>
      </c>
      <c r="B206" s="62" t="s">
        <v>136</v>
      </c>
      <c r="C206" s="62" t="s">
        <v>326</v>
      </c>
      <c r="D206" s="62" t="s">
        <v>327</v>
      </c>
      <c r="E206" s="62" t="str">
        <f>IF(COUNTIF('Giriş Sayfası'!A:A,'TERCİH kontrol'!A206),"Tercihi Var","Tercihi Yok")</f>
        <v>Tercihi Yok</v>
      </c>
      <c r="F206" s="10"/>
      <c r="G206" s="10"/>
      <c r="H206" s="49" t="s">
        <v>478</v>
      </c>
    </row>
    <row r="207" spans="1:8">
      <c r="A207" s="44">
        <v>206</v>
      </c>
      <c r="B207" s="59" t="s">
        <v>136</v>
      </c>
      <c r="C207" s="59" t="s">
        <v>43</v>
      </c>
      <c r="D207" s="59" t="s">
        <v>99</v>
      </c>
      <c r="E207" s="59" t="str">
        <f>IF(COUNTIF('Giriş Sayfası'!A:A,'TERCİH kontrol'!A207),"Tercihi Var","Tercihi Yok")</f>
        <v>Tercihi Var</v>
      </c>
      <c r="F207" s="10"/>
      <c r="G207" s="10"/>
      <c r="H207" s="49" t="s">
        <v>837</v>
      </c>
    </row>
    <row r="208" spans="1:8">
      <c r="A208" s="44">
        <v>207</v>
      </c>
      <c r="B208" s="59" t="s">
        <v>136</v>
      </c>
      <c r="C208" s="59" t="s">
        <v>328</v>
      </c>
      <c r="D208" s="59" t="s">
        <v>20</v>
      </c>
      <c r="E208" s="59" t="str">
        <f>IF(COUNTIF('Giriş Sayfası'!A:A,'TERCİH kontrol'!A208),"Tercihi Var","Tercihi Yok")</f>
        <v>Tercihi Var</v>
      </c>
      <c r="F208" s="10"/>
      <c r="G208" s="10"/>
      <c r="H208" s="49" t="s">
        <v>479</v>
      </c>
    </row>
    <row r="209" spans="1:8">
      <c r="A209" s="44">
        <v>208</v>
      </c>
      <c r="B209" s="59" t="s">
        <v>136</v>
      </c>
      <c r="C209" s="59" t="s">
        <v>838</v>
      </c>
      <c r="D209" s="59" t="s">
        <v>839</v>
      </c>
      <c r="E209" s="59" t="str">
        <f>IF(COUNTIF('Giriş Sayfası'!A:A,'TERCİH kontrol'!A209),"Tercihi Var","Tercihi Yok")</f>
        <v>Tercihi Var</v>
      </c>
      <c r="F209" s="10"/>
      <c r="G209" s="10"/>
      <c r="H209" s="49" t="s">
        <v>840</v>
      </c>
    </row>
    <row r="210" spans="1:8">
      <c r="A210" s="44">
        <v>209</v>
      </c>
      <c r="B210" s="59" t="s">
        <v>136</v>
      </c>
      <c r="C210" s="59" t="s">
        <v>184</v>
      </c>
      <c r="D210" s="59" t="s">
        <v>329</v>
      </c>
      <c r="E210" s="59" t="str">
        <f>IF(COUNTIF('Giriş Sayfası'!A:A,'TERCİH kontrol'!A210),"Tercihi Var","Tercihi Yok")</f>
        <v>Tercihi Var</v>
      </c>
      <c r="F210" s="10"/>
      <c r="G210" s="10"/>
      <c r="H210" s="49" t="s">
        <v>480</v>
      </c>
    </row>
    <row r="211" spans="1:8">
      <c r="A211" s="44">
        <v>210</v>
      </c>
      <c r="B211" s="59" t="s">
        <v>136</v>
      </c>
      <c r="C211" s="59" t="s">
        <v>841</v>
      </c>
      <c r="D211" s="59" t="s">
        <v>842</v>
      </c>
      <c r="E211" s="59" t="str">
        <f>IF(COUNTIF('Giriş Sayfası'!A:A,'TERCİH kontrol'!A211),"Tercihi Var","Tercihi Yok")</f>
        <v>Tercihi Var</v>
      </c>
      <c r="F211" s="10"/>
      <c r="G211" s="10"/>
      <c r="H211" s="49" t="s">
        <v>843</v>
      </c>
    </row>
    <row r="212" spans="1:8">
      <c r="A212" s="44">
        <v>211</v>
      </c>
      <c r="B212" s="59" t="s">
        <v>136</v>
      </c>
      <c r="C212" s="59" t="s">
        <v>330</v>
      </c>
      <c r="D212" s="59" t="s">
        <v>16</v>
      </c>
      <c r="E212" s="59" t="str">
        <f>IF(COUNTIF('Giriş Sayfası'!A:A,'TERCİH kontrol'!A212),"Tercihi Var","Tercihi Yok")</f>
        <v>Tercihi Var</v>
      </c>
      <c r="F212" s="10"/>
      <c r="G212" s="10" t="s">
        <v>1056</v>
      </c>
      <c r="H212" s="49" t="s">
        <v>481</v>
      </c>
    </row>
    <row r="213" spans="1:8">
      <c r="A213" s="44">
        <v>212</v>
      </c>
      <c r="B213" s="59" t="s">
        <v>136</v>
      </c>
      <c r="C213" s="59" t="s">
        <v>331</v>
      </c>
      <c r="D213" s="59" t="s">
        <v>332</v>
      </c>
      <c r="E213" s="59" t="str">
        <f>IF(COUNTIF('Giriş Sayfası'!A:A,'TERCİH kontrol'!A213),"Tercihi Var","Tercihi Yok")</f>
        <v>Tercihi Var</v>
      </c>
      <c r="F213" s="10" t="s">
        <v>1154</v>
      </c>
      <c r="G213" s="10" t="s">
        <v>1038</v>
      </c>
      <c r="H213" s="49" t="s">
        <v>482</v>
      </c>
    </row>
    <row r="214" spans="1:8">
      <c r="A214" s="44">
        <v>213</v>
      </c>
      <c r="B214" s="59" t="s">
        <v>138</v>
      </c>
      <c r="C214" s="59" t="s">
        <v>844</v>
      </c>
      <c r="D214" s="59" t="s">
        <v>340</v>
      </c>
      <c r="E214" s="59" t="str">
        <f>IF(COUNTIF('Giriş Sayfası'!A:A,'TERCİH kontrol'!A214),"Tercihi Var","Tercihi Yok")</f>
        <v>Tercihi Var</v>
      </c>
      <c r="F214" s="10"/>
      <c r="G214" s="10"/>
      <c r="H214" s="49" t="s">
        <v>845</v>
      </c>
    </row>
    <row r="215" spans="1:8">
      <c r="A215" s="44">
        <v>214</v>
      </c>
      <c r="B215" s="59" t="s">
        <v>138</v>
      </c>
      <c r="C215" s="59" t="s">
        <v>333</v>
      </c>
      <c r="D215" s="59" t="s">
        <v>334</v>
      </c>
      <c r="E215" s="59" t="str">
        <f>IF(COUNTIF('Giriş Sayfası'!A:A,'TERCİH kontrol'!A215),"Tercihi Var","Tercihi Yok")</f>
        <v>Tercihi Var</v>
      </c>
      <c r="F215" s="10" t="s">
        <v>1159</v>
      </c>
      <c r="G215" s="10"/>
      <c r="H215" s="49" t="s">
        <v>483</v>
      </c>
    </row>
    <row r="216" spans="1:8">
      <c r="A216" s="44">
        <v>215</v>
      </c>
      <c r="B216" s="59" t="s">
        <v>138</v>
      </c>
      <c r="C216" s="59" t="s">
        <v>335</v>
      </c>
      <c r="D216" s="59" t="s">
        <v>16</v>
      </c>
      <c r="E216" s="59" t="str">
        <f>IF(COUNTIF('Giriş Sayfası'!A:A,'TERCİH kontrol'!A216),"Tercihi Var","Tercihi Yok")</f>
        <v>Tercihi Var</v>
      </c>
      <c r="F216" s="10"/>
      <c r="G216" s="10" t="s">
        <v>1056</v>
      </c>
      <c r="H216" s="49" t="s">
        <v>484</v>
      </c>
    </row>
    <row r="217" spans="1:8" hidden="1">
      <c r="A217" s="44">
        <v>216</v>
      </c>
      <c r="B217" s="62" t="s">
        <v>140</v>
      </c>
      <c r="C217" s="62" t="s">
        <v>192</v>
      </c>
      <c r="D217" s="62" t="s">
        <v>16</v>
      </c>
      <c r="E217" s="62" t="str">
        <f>IF(COUNTIF('Giriş Sayfası'!A:A,'TERCİH kontrol'!A217),"Tercihi Var","Tercihi Yok")</f>
        <v>Tercihi Yok</v>
      </c>
      <c r="F217" s="10"/>
      <c r="G217" s="10"/>
      <c r="H217" s="49" t="s">
        <v>846</v>
      </c>
    </row>
    <row r="218" spans="1:8">
      <c r="A218" s="44">
        <v>217</v>
      </c>
      <c r="B218" s="59" t="s">
        <v>140</v>
      </c>
      <c r="C218" s="59" t="s">
        <v>141</v>
      </c>
      <c r="D218" s="59" t="s">
        <v>142</v>
      </c>
      <c r="E218" s="59" t="str">
        <f>IF(COUNTIF('Giriş Sayfası'!A:A,'TERCİH kontrol'!A218),"Tercihi Var","Tercihi Yok")</f>
        <v>Tercihi Var</v>
      </c>
      <c r="F218" s="10"/>
      <c r="G218" s="10" t="s">
        <v>1056</v>
      </c>
      <c r="H218" s="49" t="s">
        <v>485</v>
      </c>
    </row>
    <row r="219" spans="1:8">
      <c r="A219" s="44">
        <v>218</v>
      </c>
      <c r="B219" s="59" t="s">
        <v>140</v>
      </c>
      <c r="C219" s="59" t="s">
        <v>847</v>
      </c>
      <c r="D219" s="59" t="s">
        <v>189</v>
      </c>
      <c r="E219" s="59" t="str">
        <f>IF(COUNTIF('Giriş Sayfası'!A:A,'TERCİH kontrol'!A219),"Tercihi Var","Tercihi Yok")</f>
        <v>Tercihi Var</v>
      </c>
      <c r="F219" s="10"/>
      <c r="G219" s="10"/>
      <c r="H219" s="49" t="s">
        <v>848</v>
      </c>
    </row>
    <row r="220" spans="1:8">
      <c r="A220" s="44">
        <v>219</v>
      </c>
      <c r="B220" s="59" t="s">
        <v>140</v>
      </c>
      <c r="C220" s="59" t="s">
        <v>336</v>
      </c>
      <c r="D220" s="59" t="s">
        <v>34</v>
      </c>
      <c r="E220" s="59" t="str">
        <f>IF(COUNTIF('Giriş Sayfası'!A:A,'TERCİH kontrol'!A220),"Tercihi Var","Tercihi Yok")</f>
        <v>Tercihi Var</v>
      </c>
      <c r="F220" s="10"/>
      <c r="G220" s="10" t="s">
        <v>1056</v>
      </c>
      <c r="H220" s="49" t="s">
        <v>486</v>
      </c>
    </row>
    <row r="221" spans="1:8" hidden="1">
      <c r="A221" s="44">
        <v>220</v>
      </c>
      <c r="B221" s="62" t="s">
        <v>143</v>
      </c>
      <c r="C221" s="62" t="s">
        <v>24</v>
      </c>
      <c r="D221" s="62" t="s">
        <v>229</v>
      </c>
      <c r="E221" s="62" t="str">
        <f>IF(COUNTIF('Giriş Sayfası'!A:A,'TERCİH kontrol'!A221),"Tercihi Var","Tercihi Yok")</f>
        <v>Tercihi Yok</v>
      </c>
      <c r="F221" s="10"/>
      <c r="G221" s="10"/>
      <c r="H221" s="49" t="s">
        <v>487</v>
      </c>
    </row>
    <row r="222" spans="1:8" hidden="1">
      <c r="A222" s="44">
        <v>221</v>
      </c>
      <c r="B222" s="62" t="s">
        <v>143</v>
      </c>
      <c r="C222" s="62" t="s">
        <v>337</v>
      </c>
      <c r="D222" s="62" t="s">
        <v>72</v>
      </c>
      <c r="E222" s="62" t="str">
        <f>IF(COUNTIF('Giriş Sayfası'!A:A,'TERCİH kontrol'!A222),"Tercihi Var","Tercihi Yok")</f>
        <v>Tercihi Yok</v>
      </c>
      <c r="F222" s="10"/>
      <c r="G222" s="10" t="s">
        <v>1056</v>
      </c>
      <c r="H222" s="49" t="s">
        <v>488</v>
      </c>
    </row>
    <row r="223" spans="1:8" hidden="1">
      <c r="A223" s="44">
        <v>222</v>
      </c>
      <c r="B223" s="62" t="s">
        <v>143</v>
      </c>
      <c r="C223" s="62" t="s">
        <v>338</v>
      </c>
      <c r="D223" s="62" t="s">
        <v>46</v>
      </c>
      <c r="E223" s="62" t="str">
        <f>IF(COUNTIF('Giriş Sayfası'!A:A,'TERCİH kontrol'!A223),"Tercihi Var","Tercihi Yok")</f>
        <v>Tercihi Yok</v>
      </c>
      <c r="F223" s="10" t="s">
        <v>1153</v>
      </c>
      <c r="G223" s="10"/>
      <c r="H223" s="49" t="s">
        <v>489</v>
      </c>
    </row>
    <row r="224" spans="1:8">
      <c r="A224" s="44">
        <v>223</v>
      </c>
      <c r="B224" s="59" t="s">
        <v>143</v>
      </c>
      <c r="C224" s="59" t="s">
        <v>849</v>
      </c>
      <c r="D224" s="59" t="s">
        <v>850</v>
      </c>
      <c r="E224" s="59" t="str">
        <f>IF(COUNTIF('Giriş Sayfası'!A:A,'TERCİH kontrol'!A224),"Tercihi Var","Tercihi Yok")</f>
        <v>Tercihi Var</v>
      </c>
      <c r="F224" s="10"/>
      <c r="G224" s="10"/>
      <c r="H224" s="49" t="s">
        <v>851</v>
      </c>
    </row>
    <row r="225" spans="1:8" hidden="1">
      <c r="A225" s="44">
        <v>224</v>
      </c>
      <c r="B225" s="62" t="s">
        <v>143</v>
      </c>
      <c r="C225" s="62" t="s">
        <v>266</v>
      </c>
      <c r="D225" s="62" t="s">
        <v>40</v>
      </c>
      <c r="E225" s="62" t="str">
        <f>IF(COUNTIF('Giriş Sayfası'!A:A,'TERCİH kontrol'!A225),"Tercihi Var","Tercihi Yok")</f>
        <v>Tercihi Yok</v>
      </c>
      <c r="F225" s="10"/>
      <c r="G225" s="10"/>
      <c r="H225" s="49" t="s">
        <v>852</v>
      </c>
    </row>
    <row r="226" spans="1:8">
      <c r="A226" s="44">
        <v>225</v>
      </c>
      <c r="B226" s="59" t="s">
        <v>144</v>
      </c>
      <c r="C226" s="59" t="s">
        <v>853</v>
      </c>
      <c r="D226" s="59" t="s">
        <v>193</v>
      </c>
      <c r="E226" s="59" t="str">
        <f>IF(COUNTIF('Giriş Sayfası'!A:A,'TERCİH kontrol'!A226),"Tercihi Var","Tercihi Yok")</f>
        <v>Tercihi Var</v>
      </c>
      <c r="F226" s="10"/>
      <c r="G226" s="10"/>
      <c r="H226" s="49" t="s">
        <v>854</v>
      </c>
    </row>
    <row r="227" spans="1:8" hidden="1">
      <c r="A227" s="44">
        <v>226</v>
      </c>
      <c r="B227" s="62" t="s">
        <v>144</v>
      </c>
      <c r="C227" s="62" t="s">
        <v>855</v>
      </c>
      <c r="D227" s="62" t="s">
        <v>856</v>
      </c>
      <c r="E227" s="62" t="str">
        <f>IF(COUNTIF('Giriş Sayfası'!A:A,'TERCİH kontrol'!A227),"Tercihi Var","Tercihi Yok")</f>
        <v>Tercihi Yok</v>
      </c>
      <c r="F227" s="10" t="s">
        <v>1159</v>
      </c>
      <c r="G227" s="10"/>
      <c r="H227" s="49" t="s">
        <v>857</v>
      </c>
    </row>
    <row r="228" spans="1:8">
      <c r="A228" s="44">
        <v>228</v>
      </c>
      <c r="B228" s="59" t="s">
        <v>146</v>
      </c>
      <c r="C228" s="59" t="s">
        <v>859</v>
      </c>
      <c r="D228" s="59" t="s">
        <v>647</v>
      </c>
      <c r="E228" s="59" t="str">
        <f>IF(COUNTIF('Giriş Sayfası'!A:A,'TERCİH kontrol'!A228),"Tercihi Var","Tercihi Yok")</f>
        <v>Tercihi Var</v>
      </c>
      <c r="F228" s="10" t="s">
        <v>1163</v>
      </c>
      <c r="G228" s="10"/>
      <c r="H228" s="49" t="s">
        <v>860</v>
      </c>
    </row>
    <row r="229" spans="1:8">
      <c r="A229" s="44">
        <v>229</v>
      </c>
      <c r="B229" s="59" t="s">
        <v>146</v>
      </c>
      <c r="C229" s="59" t="s">
        <v>266</v>
      </c>
      <c r="D229" s="59" t="s">
        <v>341</v>
      </c>
      <c r="E229" s="59" t="str">
        <f>IF(COUNTIF('Giriş Sayfası'!A:A,'TERCİH kontrol'!A229),"Tercihi Var","Tercihi Yok")</f>
        <v>Tercihi Var</v>
      </c>
      <c r="F229" s="10"/>
      <c r="G229" s="10"/>
      <c r="H229" s="49" t="s">
        <v>491</v>
      </c>
    </row>
    <row r="230" spans="1:8">
      <c r="A230" s="44">
        <v>230</v>
      </c>
      <c r="B230" s="59" t="s">
        <v>146</v>
      </c>
      <c r="C230" s="59" t="s">
        <v>342</v>
      </c>
      <c r="D230" s="59" t="s">
        <v>343</v>
      </c>
      <c r="E230" s="59" t="str">
        <f>IF(COUNTIF('Giriş Sayfası'!A:A,'TERCİH kontrol'!A230),"Tercihi Var","Tercihi Yok")</f>
        <v>Tercihi Var</v>
      </c>
      <c r="F230" s="10"/>
      <c r="G230" s="10"/>
      <c r="H230" s="49" t="s">
        <v>492</v>
      </c>
    </row>
    <row r="231" spans="1:8" hidden="1">
      <c r="A231" s="44">
        <v>231</v>
      </c>
      <c r="B231" s="62" t="s">
        <v>147</v>
      </c>
      <c r="C231" s="62" t="s">
        <v>145</v>
      </c>
      <c r="D231" s="62" t="s">
        <v>861</v>
      </c>
      <c r="E231" s="62" t="str">
        <f>IF(COUNTIF('Giriş Sayfası'!A:A,'TERCİH kontrol'!A231),"Tercihi Var","Tercihi Yok")</f>
        <v>Tercihi Yok</v>
      </c>
      <c r="F231" s="10"/>
      <c r="G231" s="10"/>
      <c r="H231" s="49" t="s">
        <v>862</v>
      </c>
    </row>
    <row r="232" spans="1:8" hidden="1">
      <c r="A232" s="44">
        <v>232</v>
      </c>
      <c r="B232" s="62" t="s">
        <v>147</v>
      </c>
      <c r="C232" s="62" t="s">
        <v>863</v>
      </c>
      <c r="D232" s="62" t="s">
        <v>864</v>
      </c>
      <c r="E232" s="62" t="str">
        <f>IF(COUNTIF('Giriş Sayfası'!A:A,'TERCİH kontrol'!A232),"Tercihi Var","Tercihi Yok")</f>
        <v>Tercihi Yok</v>
      </c>
      <c r="F232" s="10"/>
      <c r="G232" s="10"/>
      <c r="H232" s="49" t="s">
        <v>865</v>
      </c>
    </row>
    <row r="233" spans="1:8">
      <c r="A233" s="44">
        <v>233</v>
      </c>
      <c r="B233" s="59" t="s">
        <v>148</v>
      </c>
      <c r="C233" s="59" t="s">
        <v>94</v>
      </c>
      <c r="D233" s="59" t="s">
        <v>51</v>
      </c>
      <c r="E233" s="59" t="str">
        <f>IF(COUNTIF('Giriş Sayfası'!A:A,'TERCİH kontrol'!A233),"Tercihi Var","Tercihi Yok")</f>
        <v>Tercihi Var</v>
      </c>
      <c r="F233" s="10"/>
      <c r="G233" s="10"/>
      <c r="H233" s="49" t="s">
        <v>493</v>
      </c>
    </row>
    <row r="234" spans="1:8">
      <c r="A234" s="44">
        <v>234</v>
      </c>
      <c r="B234" s="59" t="s">
        <v>149</v>
      </c>
      <c r="C234" s="59" t="s">
        <v>27</v>
      </c>
      <c r="D234" s="59" t="s">
        <v>100</v>
      </c>
      <c r="E234" s="59" t="str">
        <f>IF(COUNTIF('Giriş Sayfası'!A:A,'TERCİH kontrol'!A234),"Tercihi Var","Tercihi Yok")</f>
        <v>Tercihi Var</v>
      </c>
      <c r="F234" s="10" t="s">
        <v>1159</v>
      </c>
      <c r="G234" s="10"/>
      <c r="H234" s="49" t="s">
        <v>494</v>
      </c>
    </row>
    <row r="235" spans="1:8">
      <c r="A235" s="44">
        <v>235</v>
      </c>
      <c r="B235" s="59" t="s">
        <v>149</v>
      </c>
      <c r="C235" s="59" t="s">
        <v>866</v>
      </c>
      <c r="D235" s="59" t="s">
        <v>867</v>
      </c>
      <c r="E235" s="59" t="str">
        <f>IF(COUNTIF('Giriş Sayfası'!A:A,'TERCİH kontrol'!A235),"Tercihi Var","Tercihi Yok")</f>
        <v>Tercihi Var</v>
      </c>
      <c r="F235" s="10"/>
      <c r="G235" s="10"/>
      <c r="H235" s="49" t="s">
        <v>868</v>
      </c>
    </row>
    <row r="236" spans="1:8">
      <c r="A236" s="44">
        <v>236</v>
      </c>
      <c r="B236" s="59" t="s">
        <v>150</v>
      </c>
      <c r="C236" s="59" t="s">
        <v>869</v>
      </c>
      <c r="D236" s="59" t="s">
        <v>667</v>
      </c>
      <c r="E236" s="59" t="str">
        <f>IF(COUNTIF('Giriş Sayfası'!A:A,'TERCİH kontrol'!A236),"Tercihi Var","Tercihi Yok")</f>
        <v>Tercihi Var</v>
      </c>
      <c r="F236" s="10"/>
      <c r="G236" s="10"/>
      <c r="H236" s="49" t="s">
        <v>870</v>
      </c>
    </row>
    <row r="237" spans="1:8">
      <c r="A237" s="44">
        <v>237</v>
      </c>
      <c r="B237" s="59" t="s">
        <v>150</v>
      </c>
      <c r="C237" s="59" t="s">
        <v>871</v>
      </c>
      <c r="D237" s="59" t="s">
        <v>359</v>
      </c>
      <c r="E237" s="59" t="str">
        <f>IF(COUNTIF('Giriş Sayfası'!A:A,'TERCİH kontrol'!A237),"Tercihi Var","Tercihi Yok")</f>
        <v>Tercihi Var</v>
      </c>
      <c r="F237" s="10"/>
      <c r="G237" s="10"/>
      <c r="H237" s="49" t="s">
        <v>872</v>
      </c>
    </row>
    <row r="238" spans="1:8" hidden="1">
      <c r="A238" s="44">
        <v>238</v>
      </c>
      <c r="B238" s="62" t="s">
        <v>139</v>
      </c>
      <c r="C238" s="62" t="s">
        <v>249</v>
      </c>
      <c r="D238" s="62" t="s">
        <v>61</v>
      </c>
      <c r="E238" s="62" t="str">
        <f>IF(COUNTIF('Giriş Sayfası'!A:A,'TERCİH kontrol'!A238),"Tercihi Var","Tercihi Yok")</f>
        <v>Tercihi Yok</v>
      </c>
      <c r="F238" s="10" t="s">
        <v>1153</v>
      </c>
      <c r="G238" s="10"/>
      <c r="H238" s="49" t="s">
        <v>495</v>
      </c>
    </row>
    <row r="239" spans="1:8" hidden="1">
      <c r="A239" s="44">
        <v>239</v>
      </c>
      <c r="B239" s="62" t="s">
        <v>139</v>
      </c>
      <c r="C239" s="62" t="s">
        <v>346</v>
      </c>
      <c r="D239" s="62" t="s">
        <v>347</v>
      </c>
      <c r="E239" s="62" t="str">
        <f>IF(COUNTIF('Giriş Sayfası'!A:A,'TERCİH kontrol'!A239),"Tercihi Var","Tercihi Yok")</f>
        <v>Tercihi Yok</v>
      </c>
      <c r="F239" s="10"/>
      <c r="G239" s="10"/>
      <c r="H239" s="49" t="s">
        <v>497</v>
      </c>
    </row>
    <row r="240" spans="1:8">
      <c r="A240" s="44">
        <v>240</v>
      </c>
      <c r="B240" s="59" t="s">
        <v>139</v>
      </c>
      <c r="C240" s="59" t="s">
        <v>873</v>
      </c>
      <c r="D240" s="59" t="s">
        <v>874</v>
      </c>
      <c r="E240" s="59" t="str">
        <f>IF(COUNTIF('Giriş Sayfası'!A:A,'TERCİH kontrol'!A240),"Tercihi Var","Tercihi Yok")</f>
        <v>Tercihi Var</v>
      </c>
      <c r="F240" s="10"/>
      <c r="G240" s="10"/>
      <c r="H240" s="49" t="s">
        <v>875</v>
      </c>
    </row>
    <row r="241" spans="1:8">
      <c r="A241" s="44">
        <v>241</v>
      </c>
      <c r="B241" s="59" t="s">
        <v>151</v>
      </c>
      <c r="C241" s="59" t="s">
        <v>348</v>
      </c>
      <c r="D241" s="59" t="s">
        <v>349</v>
      </c>
      <c r="E241" s="59" t="str">
        <f>IF(COUNTIF('Giriş Sayfası'!A:A,'TERCİH kontrol'!A241),"Tercihi Var","Tercihi Yok")</f>
        <v>Tercihi Var</v>
      </c>
      <c r="F241" s="10" t="s">
        <v>1153</v>
      </c>
      <c r="G241" s="10"/>
      <c r="H241" s="49" t="s">
        <v>498</v>
      </c>
    </row>
    <row r="242" spans="1:8">
      <c r="A242" s="44">
        <v>242</v>
      </c>
      <c r="B242" s="59" t="s">
        <v>151</v>
      </c>
      <c r="C242" s="59" t="s">
        <v>25</v>
      </c>
      <c r="D242" s="59" t="s">
        <v>46</v>
      </c>
      <c r="E242" s="59" t="str">
        <f>IF(COUNTIF('Giriş Sayfası'!A:A,'TERCİH kontrol'!A242),"Tercihi Var","Tercihi Yok")</f>
        <v>Tercihi Var</v>
      </c>
      <c r="F242" s="10"/>
      <c r="G242" s="10"/>
      <c r="H242" s="49" t="s">
        <v>876</v>
      </c>
    </row>
    <row r="243" spans="1:8">
      <c r="A243" s="44">
        <v>243</v>
      </c>
      <c r="B243" s="59" t="s">
        <v>152</v>
      </c>
      <c r="C243" s="59" t="s">
        <v>195</v>
      </c>
      <c r="D243" s="59" t="s">
        <v>877</v>
      </c>
      <c r="E243" s="59" t="str">
        <f>IF(COUNTIF('Giriş Sayfası'!A:A,'TERCİH kontrol'!A243),"Tercihi Var","Tercihi Yok")</f>
        <v>Tercihi Var</v>
      </c>
      <c r="F243" s="10"/>
      <c r="G243" s="10"/>
      <c r="H243" s="49" t="s">
        <v>878</v>
      </c>
    </row>
    <row r="244" spans="1:8" hidden="1">
      <c r="A244" s="44">
        <v>244</v>
      </c>
      <c r="B244" s="62" t="s">
        <v>152</v>
      </c>
      <c r="C244" s="62" t="s">
        <v>203</v>
      </c>
      <c r="D244" s="62" t="s">
        <v>204</v>
      </c>
      <c r="E244" s="62" t="str">
        <f>IF(COUNTIF('Giriş Sayfası'!A:A,'TERCİH kontrol'!A244),"Tercihi Var","Tercihi Yok")</f>
        <v>Tercihi Yok</v>
      </c>
      <c r="F244" s="10" t="s">
        <v>1156</v>
      </c>
      <c r="G244" s="10"/>
      <c r="H244" s="49" t="s">
        <v>499</v>
      </c>
    </row>
    <row r="245" spans="1:8" hidden="1">
      <c r="A245" s="44">
        <v>245</v>
      </c>
      <c r="B245" s="62" t="s">
        <v>152</v>
      </c>
      <c r="C245" s="62" t="s">
        <v>109</v>
      </c>
      <c r="D245" s="62" t="s">
        <v>110</v>
      </c>
      <c r="E245" s="62" t="str">
        <f>IF(COUNTIF('Giriş Sayfası'!A:A,'TERCİH kontrol'!A245),"Tercihi Var","Tercihi Yok")</f>
        <v>Tercihi Yok</v>
      </c>
      <c r="F245" s="10" t="s">
        <v>1154</v>
      </c>
      <c r="G245" s="10" t="s">
        <v>1038</v>
      </c>
      <c r="H245" s="49" t="s">
        <v>454</v>
      </c>
    </row>
    <row r="246" spans="1:8">
      <c r="A246" s="44">
        <v>246</v>
      </c>
      <c r="B246" s="59" t="s">
        <v>153</v>
      </c>
      <c r="C246" s="59" t="s">
        <v>879</v>
      </c>
      <c r="D246" s="59" t="s">
        <v>353</v>
      </c>
      <c r="E246" s="59" t="str">
        <f>IF(COUNTIF('Giriş Sayfası'!A:A,'TERCİH kontrol'!A246),"Tercihi Var","Tercihi Yok")</f>
        <v>Tercihi Var</v>
      </c>
      <c r="F246" s="10" t="s">
        <v>1153</v>
      </c>
      <c r="G246" s="10"/>
      <c r="H246" s="49" t="s">
        <v>880</v>
      </c>
    </row>
    <row r="247" spans="1:8" hidden="1">
      <c r="A247" s="44">
        <v>247</v>
      </c>
      <c r="B247" s="62" t="s">
        <v>153</v>
      </c>
      <c r="C247" s="62" t="s">
        <v>881</v>
      </c>
      <c r="D247" s="62" t="s">
        <v>882</v>
      </c>
      <c r="E247" s="62" t="str">
        <f>IF(COUNTIF('Giriş Sayfası'!A:A,'TERCİH kontrol'!A247),"Tercihi Var","Tercihi Yok")</f>
        <v>Tercihi Yok</v>
      </c>
      <c r="F247" s="10"/>
      <c r="G247" s="10"/>
      <c r="H247" s="49" t="s">
        <v>883</v>
      </c>
    </row>
    <row r="248" spans="1:8">
      <c r="A248" s="44">
        <v>248</v>
      </c>
      <c r="B248" s="59" t="s">
        <v>153</v>
      </c>
      <c r="C248" s="59" t="s">
        <v>350</v>
      </c>
      <c r="D248" s="59" t="s">
        <v>89</v>
      </c>
      <c r="E248" s="59" t="str">
        <f>IF(COUNTIF('Giriş Sayfası'!A:A,'TERCİH kontrol'!A248),"Tercihi Var","Tercihi Yok")</f>
        <v>Tercihi Var</v>
      </c>
      <c r="F248" s="10"/>
      <c r="G248" s="10"/>
      <c r="H248" s="49" t="s">
        <v>500</v>
      </c>
    </row>
    <row r="249" spans="1:8" hidden="1">
      <c r="A249" s="44">
        <v>249</v>
      </c>
      <c r="B249" s="62" t="s">
        <v>153</v>
      </c>
      <c r="C249" s="62" t="s">
        <v>230</v>
      </c>
      <c r="D249" s="62" t="s">
        <v>79</v>
      </c>
      <c r="E249" s="62" t="str">
        <f>IF(COUNTIF('Giriş Sayfası'!A:A,'TERCİH kontrol'!A249),"Tercihi Var","Tercihi Yok")</f>
        <v>Tercihi Yok</v>
      </c>
      <c r="F249" s="10" t="s">
        <v>1154</v>
      </c>
      <c r="G249" s="10" t="s">
        <v>1038</v>
      </c>
      <c r="H249" s="49" t="s">
        <v>501</v>
      </c>
    </row>
    <row r="250" spans="1:8" hidden="1">
      <c r="A250" s="44">
        <v>250</v>
      </c>
      <c r="B250" s="62" t="s">
        <v>154</v>
      </c>
      <c r="C250" s="62" t="s">
        <v>351</v>
      </c>
      <c r="D250" s="62" t="s">
        <v>16</v>
      </c>
      <c r="E250" s="62" t="str">
        <f>IF(COUNTIF('Giriş Sayfası'!A:A,'TERCİH kontrol'!A250),"Tercihi Var","Tercihi Yok")</f>
        <v>Tercihi Yok</v>
      </c>
      <c r="F250" s="10"/>
      <c r="G250" s="10"/>
      <c r="H250" s="49" t="s">
        <v>502</v>
      </c>
    </row>
    <row r="251" spans="1:8" hidden="1">
      <c r="A251" s="44">
        <v>251</v>
      </c>
      <c r="B251" s="62" t="s">
        <v>154</v>
      </c>
      <c r="C251" s="62" t="s">
        <v>352</v>
      </c>
      <c r="D251" s="62" t="s">
        <v>353</v>
      </c>
      <c r="E251" s="62" t="str">
        <f>IF(COUNTIF('Giriş Sayfası'!A:A,'TERCİH kontrol'!A251),"Tercihi Var","Tercihi Yok")</f>
        <v>Tercihi Yok</v>
      </c>
      <c r="F251" s="10" t="s">
        <v>1154</v>
      </c>
      <c r="G251" s="10" t="s">
        <v>1038</v>
      </c>
      <c r="H251" s="49" t="s">
        <v>503</v>
      </c>
    </row>
    <row r="252" spans="1:8">
      <c r="A252" s="44">
        <v>252</v>
      </c>
      <c r="B252" s="59" t="s">
        <v>154</v>
      </c>
      <c r="C252" s="59" t="s">
        <v>354</v>
      </c>
      <c r="D252" s="59" t="s">
        <v>99</v>
      </c>
      <c r="E252" s="59" t="str">
        <f>IF(COUNTIF('Giriş Sayfası'!A:A,'TERCİH kontrol'!A252),"Tercihi Var","Tercihi Yok")</f>
        <v>Tercihi Var</v>
      </c>
      <c r="F252" s="10"/>
      <c r="G252" s="10"/>
      <c r="H252" s="49" t="s">
        <v>505</v>
      </c>
    </row>
    <row r="253" spans="1:8">
      <c r="A253" s="44">
        <v>253</v>
      </c>
      <c r="B253" s="59" t="s">
        <v>154</v>
      </c>
      <c r="C253" s="59" t="s">
        <v>355</v>
      </c>
      <c r="D253" s="59" t="s">
        <v>107</v>
      </c>
      <c r="E253" s="59" t="str">
        <f>IF(COUNTIF('Giriş Sayfası'!A:A,'TERCİH kontrol'!A253),"Tercihi Var","Tercihi Yok")</f>
        <v>Tercihi Var</v>
      </c>
      <c r="F253" s="10" t="s">
        <v>1163</v>
      </c>
      <c r="G253" s="10"/>
      <c r="H253" s="49" t="s">
        <v>506</v>
      </c>
    </row>
    <row r="254" spans="1:8" hidden="1">
      <c r="A254" s="44">
        <v>254</v>
      </c>
      <c r="B254" s="62" t="s">
        <v>154</v>
      </c>
      <c r="C254" s="62" t="s">
        <v>56</v>
      </c>
      <c r="D254" s="62" t="s">
        <v>884</v>
      </c>
      <c r="E254" s="62" t="str">
        <f>IF(COUNTIF('Giriş Sayfası'!A:A,'TERCİH kontrol'!A254),"Tercihi Var","Tercihi Yok")</f>
        <v>Tercihi Yok</v>
      </c>
      <c r="F254" s="10"/>
      <c r="G254" s="10"/>
      <c r="H254" s="49" t="s">
        <v>885</v>
      </c>
    </row>
    <row r="255" spans="1:8" hidden="1">
      <c r="A255" s="44">
        <v>255</v>
      </c>
      <c r="B255" s="62" t="s">
        <v>156</v>
      </c>
      <c r="C255" s="62" t="s">
        <v>886</v>
      </c>
      <c r="D255" s="62" t="s">
        <v>76</v>
      </c>
      <c r="E255" s="62" t="str">
        <f>IF(COUNTIF('Giriş Sayfası'!A:A,'TERCİH kontrol'!A255),"Tercihi Var","Tercihi Yok")</f>
        <v>Tercihi Yok</v>
      </c>
      <c r="F255" s="10"/>
      <c r="G255" s="10"/>
      <c r="H255" s="49" t="s">
        <v>887</v>
      </c>
    </row>
    <row r="256" spans="1:8">
      <c r="A256" s="44">
        <v>256</v>
      </c>
      <c r="B256" s="59" t="s">
        <v>157</v>
      </c>
      <c r="C256" s="59" t="s">
        <v>357</v>
      </c>
      <c r="D256" s="59" t="s">
        <v>358</v>
      </c>
      <c r="E256" s="59" t="str">
        <f>IF(COUNTIF('Giriş Sayfası'!A:A,'TERCİH kontrol'!A256),"Tercihi Var","Tercihi Yok")</f>
        <v>Tercihi Var</v>
      </c>
      <c r="F256" s="10"/>
      <c r="G256" s="10"/>
      <c r="H256" s="49" t="s">
        <v>507</v>
      </c>
    </row>
    <row r="257" spans="1:8">
      <c r="A257" s="44">
        <v>257</v>
      </c>
      <c r="B257" s="59" t="s">
        <v>158</v>
      </c>
      <c r="C257" s="59" t="s">
        <v>294</v>
      </c>
      <c r="D257" s="59" t="s">
        <v>888</v>
      </c>
      <c r="E257" s="59" t="str">
        <f>IF(COUNTIF('Giriş Sayfası'!A:A,'TERCİH kontrol'!A257),"Tercihi Var","Tercihi Yok")</f>
        <v>Tercihi Var</v>
      </c>
      <c r="F257" s="10"/>
      <c r="G257" s="10"/>
      <c r="H257" s="49" t="s">
        <v>889</v>
      </c>
    </row>
    <row r="258" spans="1:8">
      <c r="A258" s="44">
        <v>258</v>
      </c>
      <c r="B258" s="59" t="s">
        <v>158</v>
      </c>
      <c r="C258" s="59" t="s">
        <v>360</v>
      </c>
      <c r="D258" s="59" t="s">
        <v>361</v>
      </c>
      <c r="E258" s="59" t="str">
        <f>IF(COUNTIF('Giriş Sayfası'!A:A,'TERCİH kontrol'!A258),"Tercihi Var","Tercihi Yok")</f>
        <v>Tercihi Var</v>
      </c>
      <c r="F258" s="10"/>
      <c r="G258" s="10"/>
      <c r="H258" s="49" t="s">
        <v>508</v>
      </c>
    </row>
    <row r="259" spans="1:8" hidden="1">
      <c r="A259" s="44">
        <v>259</v>
      </c>
      <c r="B259" s="62" t="s">
        <v>158</v>
      </c>
      <c r="C259" s="62" t="s">
        <v>56</v>
      </c>
      <c r="D259" s="62" t="s">
        <v>190</v>
      </c>
      <c r="E259" s="62" t="str">
        <f>IF(COUNTIF('Giriş Sayfası'!A:A,'TERCİH kontrol'!A259),"Tercihi Var","Tercihi Yok")</f>
        <v>Tercihi Yok</v>
      </c>
      <c r="F259" s="10" t="s">
        <v>1157</v>
      </c>
      <c r="G259" s="10"/>
      <c r="H259" s="49" t="s">
        <v>509</v>
      </c>
    </row>
    <row r="260" spans="1:8">
      <c r="A260" s="44">
        <v>260</v>
      </c>
      <c r="B260" s="59" t="s">
        <v>159</v>
      </c>
      <c r="C260" s="59" t="s">
        <v>890</v>
      </c>
      <c r="D260" s="59" t="s">
        <v>891</v>
      </c>
      <c r="E260" s="59" t="str">
        <f>IF(COUNTIF('Giriş Sayfası'!A:A,'TERCİH kontrol'!A260),"Tercihi Var","Tercihi Yok")</f>
        <v>Tercihi Var</v>
      </c>
      <c r="F260" s="10"/>
      <c r="G260" s="10"/>
      <c r="H260" s="49" t="s">
        <v>892</v>
      </c>
    </row>
    <row r="261" spans="1:8">
      <c r="A261" s="44">
        <v>261</v>
      </c>
      <c r="B261" s="59" t="s">
        <v>159</v>
      </c>
      <c r="C261" s="59" t="s">
        <v>893</v>
      </c>
      <c r="D261" s="59" t="s">
        <v>16</v>
      </c>
      <c r="E261" s="59" t="str">
        <f>IF(COUNTIF('Giriş Sayfası'!A:A,'TERCİH kontrol'!A261),"Tercihi Var","Tercihi Yok")</f>
        <v>Tercihi Var</v>
      </c>
      <c r="F261" s="10"/>
      <c r="G261" s="10"/>
      <c r="H261" s="49" t="s">
        <v>894</v>
      </c>
    </row>
    <row r="262" spans="1:8">
      <c r="A262" s="44">
        <v>262</v>
      </c>
      <c r="B262" s="59" t="s">
        <v>159</v>
      </c>
      <c r="C262" s="59" t="s">
        <v>362</v>
      </c>
      <c r="D262" s="59" t="s">
        <v>40</v>
      </c>
      <c r="E262" s="59" t="str">
        <f>IF(COUNTIF('Giriş Sayfası'!A:A,'TERCİH kontrol'!A262),"Tercihi Var","Tercihi Yok")</f>
        <v>Tercihi Var</v>
      </c>
      <c r="F262" s="10"/>
      <c r="G262" s="10"/>
      <c r="H262" s="49" t="s">
        <v>510</v>
      </c>
    </row>
    <row r="263" spans="1:8" hidden="1">
      <c r="A263" s="44">
        <v>263</v>
      </c>
      <c r="B263" s="62" t="s">
        <v>159</v>
      </c>
      <c r="C263" s="62" t="s">
        <v>363</v>
      </c>
      <c r="D263" s="62" t="s">
        <v>364</v>
      </c>
      <c r="E263" s="62" t="str">
        <f>IF(COUNTIF('Giriş Sayfası'!A:A,'TERCİH kontrol'!A263),"Tercihi Var","Tercihi Yok")</f>
        <v>Tercihi Yok</v>
      </c>
      <c r="F263" s="10"/>
      <c r="G263" s="10"/>
      <c r="H263" s="49" t="s">
        <v>895</v>
      </c>
    </row>
    <row r="264" spans="1:8" hidden="1">
      <c r="A264" s="44">
        <v>264</v>
      </c>
      <c r="B264" s="62" t="s">
        <v>159</v>
      </c>
      <c r="C264" s="62" t="s">
        <v>161</v>
      </c>
      <c r="D264" s="62" t="s">
        <v>233</v>
      </c>
      <c r="E264" s="62" t="str">
        <f>IF(COUNTIF('Giriş Sayfası'!A:A,'TERCİH kontrol'!A264),"Tercihi Var","Tercihi Yok")</f>
        <v>Tercihi Yok</v>
      </c>
      <c r="F264" s="10" t="s">
        <v>1157</v>
      </c>
      <c r="G264" s="10"/>
      <c r="H264" s="49" t="s">
        <v>1149</v>
      </c>
    </row>
    <row r="265" spans="1:8" hidden="1">
      <c r="A265" s="44">
        <v>265</v>
      </c>
      <c r="B265" s="62" t="s">
        <v>159</v>
      </c>
      <c r="C265" s="62" t="s">
        <v>234</v>
      </c>
      <c r="D265" s="62" t="s">
        <v>20</v>
      </c>
      <c r="E265" s="62" t="str">
        <f>IF(COUNTIF('Giriş Sayfası'!A:A,'TERCİH kontrol'!A265),"Tercihi Var","Tercihi Yok")</f>
        <v>Tercihi Yok</v>
      </c>
      <c r="F265" s="10" t="s">
        <v>1159</v>
      </c>
      <c r="G265" s="10"/>
      <c r="H265" s="49" t="s">
        <v>511</v>
      </c>
    </row>
    <row r="266" spans="1:8">
      <c r="A266" s="44">
        <v>266</v>
      </c>
      <c r="B266" s="59" t="s">
        <v>159</v>
      </c>
      <c r="C266" s="59" t="s">
        <v>896</v>
      </c>
      <c r="D266" s="59" t="s">
        <v>20</v>
      </c>
      <c r="E266" s="59" t="str">
        <f>IF(COUNTIF('Giriş Sayfası'!A:A,'TERCİH kontrol'!A266),"Tercihi Var","Tercihi Yok")</f>
        <v>Tercihi Var</v>
      </c>
      <c r="F266" s="10"/>
      <c r="G266" s="10"/>
      <c r="H266" s="49" t="s">
        <v>897</v>
      </c>
    </row>
    <row r="267" spans="1:8" hidden="1">
      <c r="A267" s="44">
        <v>267</v>
      </c>
      <c r="B267" s="62" t="s">
        <v>159</v>
      </c>
      <c r="C267" s="62" t="s">
        <v>126</v>
      </c>
      <c r="D267" s="62" t="s">
        <v>199</v>
      </c>
      <c r="E267" s="62" t="str">
        <f>IF(COUNTIF('Giriş Sayfası'!A:A,'TERCİH kontrol'!A267),"Tercihi Var","Tercihi Yok")</f>
        <v>Tercihi Yok</v>
      </c>
      <c r="F267" s="10"/>
      <c r="G267" s="10" t="s">
        <v>1056</v>
      </c>
      <c r="H267" s="49" t="s">
        <v>1150</v>
      </c>
    </row>
    <row r="268" spans="1:8" hidden="1">
      <c r="A268" s="44">
        <v>268</v>
      </c>
      <c r="B268" s="62" t="s">
        <v>898</v>
      </c>
      <c r="C268" s="62" t="s">
        <v>899</v>
      </c>
      <c r="D268" s="62" t="s">
        <v>900</v>
      </c>
      <c r="E268" s="62" t="str">
        <f>IF(COUNTIF('Giriş Sayfası'!A:A,'TERCİH kontrol'!A268),"Tercihi Var","Tercihi Yok")</f>
        <v>Tercihi Yok</v>
      </c>
      <c r="F268" s="10"/>
      <c r="G268" s="10"/>
      <c r="H268" s="49" t="s">
        <v>901</v>
      </c>
    </row>
    <row r="269" spans="1:8">
      <c r="A269" s="44">
        <v>269</v>
      </c>
      <c r="B269" s="59" t="s">
        <v>162</v>
      </c>
      <c r="C269" s="59" t="s">
        <v>902</v>
      </c>
      <c r="D269" s="59" t="s">
        <v>353</v>
      </c>
      <c r="E269" s="59" t="str">
        <f>IF(COUNTIF('Giriş Sayfası'!A:A,'TERCİH kontrol'!A269),"Tercihi Var","Tercihi Yok")</f>
        <v>Tercihi Var</v>
      </c>
      <c r="F269" s="10"/>
      <c r="G269" s="10" t="s">
        <v>1158</v>
      </c>
      <c r="H269" s="49" t="s">
        <v>903</v>
      </c>
    </row>
    <row r="270" spans="1:8" hidden="1">
      <c r="A270" s="44">
        <v>270</v>
      </c>
      <c r="B270" s="62" t="s">
        <v>162</v>
      </c>
      <c r="C270" s="62" t="s">
        <v>216</v>
      </c>
      <c r="D270" s="62" t="s">
        <v>100</v>
      </c>
      <c r="E270" s="62" t="str">
        <f>IF(COUNTIF('Giriş Sayfası'!A:A,'TERCİH kontrol'!A270),"Tercihi Var","Tercihi Yok")</f>
        <v>Tercihi Yok</v>
      </c>
      <c r="F270" s="10" t="s">
        <v>1165</v>
      </c>
      <c r="G270" s="10"/>
      <c r="H270" s="49" t="s">
        <v>448</v>
      </c>
    </row>
    <row r="271" spans="1:8">
      <c r="A271" s="44">
        <v>271</v>
      </c>
      <c r="B271" s="59" t="s">
        <v>162</v>
      </c>
      <c r="C271" s="59" t="s">
        <v>365</v>
      </c>
      <c r="D271" s="59" t="s">
        <v>100</v>
      </c>
      <c r="E271" s="59" t="str">
        <f>IF(COUNTIF('Giriş Sayfası'!A:A,'TERCİH kontrol'!A271),"Tercihi Var","Tercihi Yok")</f>
        <v>Tercihi Var</v>
      </c>
      <c r="F271" s="10"/>
      <c r="G271" s="10" t="s">
        <v>1056</v>
      </c>
      <c r="H271" s="49" t="s">
        <v>512</v>
      </c>
    </row>
    <row r="272" spans="1:8">
      <c r="A272" s="44">
        <v>272</v>
      </c>
      <c r="B272" s="59" t="s">
        <v>163</v>
      </c>
      <c r="C272" s="59" t="s">
        <v>75</v>
      </c>
      <c r="D272" s="59" t="s">
        <v>100</v>
      </c>
      <c r="E272" s="59" t="str">
        <f>IF(COUNTIF('Giriş Sayfası'!A:A,'TERCİH kontrol'!A272),"Tercihi Var","Tercihi Yok")</f>
        <v>Tercihi Var</v>
      </c>
      <c r="F272" s="10"/>
      <c r="G272" s="10"/>
      <c r="H272" s="49" t="s">
        <v>904</v>
      </c>
    </row>
    <row r="273" spans="1:8" hidden="1">
      <c r="A273" s="44">
        <v>273</v>
      </c>
      <c r="B273" s="62" t="s">
        <v>163</v>
      </c>
      <c r="C273" s="62" t="s">
        <v>366</v>
      </c>
      <c r="D273" s="62" t="s">
        <v>55</v>
      </c>
      <c r="E273" s="62" t="str">
        <f>IF(COUNTIF('Giriş Sayfası'!A:A,'TERCİH kontrol'!A273),"Tercihi Var","Tercihi Yok")</f>
        <v>Tercihi Yok</v>
      </c>
      <c r="F273" s="10" t="s">
        <v>1163</v>
      </c>
      <c r="G273" s="10"/>
      <c r="H273" s="49" t="s">
        <v>905</v>
      </c>
    </row>
    <row r="274" spans="1:8" hidden="1">
      <c r="A274" s="44">
        <v>274</v>
      </c>
      <c r="B274" s="62" t="s">
        <v>163</v>
      </c>
      <c r="C274" s="62" t="s">
        <v>305</v>
      </c>
      <c r="D274" s="62" t="s">
        <v>906</v>
      </c>
      <c r="E274" s="62" t="str">
        <f>IF(COUNTIF('Giriş Sayfası'!A:A,'TERCİH kontrol'!A274),"Tercihi Var","Tercihi Yok")</f>
        <v>Tercihi Yok</v>
      </c>
      <c r="F274" s="10" t="s">
        <v>1161</v>
      </c>
      <c r="G274" s="10"/>
      <c r="H274" s="49" t="s">
        <v>907</v>
      </c>
    </row>
    <row r="275" spans="1:8">
      <c r="A275" s="44">
        <v>275</v>
      </c>
      <c r="B275" s="59" t="s">
        <v>164</v>
      </c>
      <c r="C275" s="59" t="s">
        <v>908</v>
      </c>
      <c r="D275" s="59" t="s">
        <v>909</v>
      </c>
      <c r="E275" s="59" t="str">
        <f>IF(COUNTIF('Giriş Sayfası'!A:A,'TERCİH kontrol'!A275),"Tercihi Var","Tercihi Yok")</f>
        <v>Tercihi Var</v>
      </c>
      <c r="F275" s="10"/>
      <c r="G275" s="10"/>
      <c r="H275" s="49" t="s">
        <v>910</v>
      </c>
    </row>
    <row r="276" spans="1:8" hidden="1">
      <c r="A276" s="44">
        <v>276</v>
      </c>
      <c r="B276" s="62" t="s">
        <v>164</v>
      </c>
      <c r="C276" s="62" t="s">
        <v>367</v>
      </c>
      <c r="D276" s="62" t="s">
        <v>368</v>
      </c>
      <c r="E276" s="62" t="str">
        <f>IF(COUNTIF('Giriş Sayfası'!A:A,'TERCİH kontrol'!A276),"Tercihi Var","Tercihi Yok")</f>
        <v>Tercihi Yok</v>
      </c>
      <c r="F276" s="10" t="s">
        <v>1157</v>
      </c>
      <c r="G276" s="10"/>
      <c r="H276" s="49" t="s">
        <v>513</v>
      </c>
    </row>
    <row r="277" spans="1:8">
      <c r="A277" s="44">
        <v>277</v>
      </c>
      <c r="B277" s="59" t="s">
        <v>164</v>
      </c>
      <c r="C277" s="59" t="s">
        <v>369</v>
      </c>
      <c r="D277" s="59" t="s">
        <v>35</v>
      </c>
      <c r="E277" s="59" t="str">
        <f>IF(COUNTIF('Giriş Sayfası'!A:A,'TERCİH kontrol'!A277),"Tercihi Var","Tercihi Yok")</f>
        <v>Tercihi Var</v>
      </c>
      <c r="F277" s="10" t="s">
        <v>1153</v>
      </c>
      <c r="G277" s="10"/>
      <c r="H277" s="49" t="s">
        <v>514</v>
      </c>
    </row>
    <row r="278" spans="1:8" hidden="1">
      <c r="A278" s="44">
        <v>278</v>
      </c>
      <c r="B278" s="62" t="s">
        <v>164</v>
      </c>
      <c r="C278" s="62" t="s">
        <v>370</v>
      </c>
      <c r="D278" s="62" t="s">
        <v>194</v>
      </c>
      <c r="E278" s="62" t="str">
        <f>IF(COUNTIF('Giriş Sayfası'!A:A,'TERCİH kontrol'!A278),"Tercihi Var","Tercihi Yok")</f>
        <v>Tercihi Yok</v>
      </c>
      <c r="F278" s="10"/>
      <c r="G278" s="10"/>
      <c r="H278" s="49" t="s">
        <v>515</v>
      </c>
    </row>
    <row r="279" spans="1:8" hidden="1">
      <c r="A279" s="44">
        <v>279</v>
      </c>
      <c r="B279" s="62" t="s">
        <v>165</v>
      </c>
      <c r="C279" s="62" t="s">
        <v>235</v>
      </c>
      <c r="D279" s="62" t="s">
        <v>18</v>
      </c>
      <c r="E279" s="62" t="str">
        <f>IF(COUNTIF('Giriş Sayfası'!A:A,'TERCİH kontrol'!A279),"Tercihi Var","Tercihi Yok")</f>
        <v>Tercihi Yok</v>
      </c>
      <c r="F279" s="10" t="s">
        <v>1157</v>
      </c>
      <c r="G279" s="10" t="s">
        <v>1158</v>
      </c>
      <c r="H279" s="49" t="s">
        <v>516</v>
      </c>
    </row>
    <row r="280" spans="1:8">
      <c r="A280" s="44">
        <v>280</v>
      </c>
      <c r="B280" s="59" t="s">
        <v>165</v>
      </c>
      <c r="C280" s="59" t="s">
        <v>819</v>
      </c>
      <c r="D280" s="59" t="s">
        <v>46</v>
      </c>
      <c r="E280" s="59" t="str">
        <f>IF(COUNTIF('Giriş Sayfası'!A:A,'TERCİH kontrol'!A280),"Tercihi Var","Tercihi Yok")</f>
        <v>Tercihi Var</v>
      </c>
      <c r="F280" s="10"/>
      <c r="G280" s="10"/>
      <c r="H280" s="49" t="s">
        <v>911</v>
      </c>
    </row>
    <row r="281" spans="1:8" hidden="1">
      <c r="A281" s="44">
        <v>281</v>
      </c>
      <c r="B281" s="62" t="s">
        <v>167</v>
      </c>
      <c r="C281" s="62" t="s">
        <v>912</v>
      </c>
      <c r="D281" s="62" t="s">
        <v>913</v>
      </c>
      <c r="E281" s="62" t="str">
        <f>IF(COUNTIF('Giriş Sayfası'!A:A,'TERCİH kontrol'!A281),"Tercihi Var","Tercihi Yok")</f>
        <v>Tercihi Yok</v>
      </c>
      <c r="F281" s="10"/>
      <c r="G281" s="10"/>
      <c r="H281" s="49" t="s">
        <v>914</v>
      </c>
    </row>
    <row r="282" spans="1:8" hidden="1">
      <c r="A282" s="44">
        <v>282</v>
      </c>
      <c r="B282" s="62" t="s">
        <v>167</v>
      </c>
      <c r="C282" s="62" t="s">
        <v>915</v>
      </c>
      <c r="D282" s="62" t="s">
        <v>916</v>
      </c>
      <c r="E282" s="62" t="str">
        <f>IF(COUNTIF('Giriş Sayfası'!A:A,'TERCİH kontrol'!A282),"Tercihi Var","Tercihi Yok")</f>
        <v>Tercihi Yok</v>
      </c>
      <c r="F282" s="10"/>
      <c r="G282" s="10" t="s">
        <v>1056</v>
      </c>
      <c r="H282" s="49" t="s">
        <v>917</v>
      </c>
    </row>
    <row r="283" spans="1:8" hidden="1">
      <c r="A283" s="44">
        <v>283</v>
      </c>
      <c r="B283" s="62" t="s">
        <v>167</v>
      </c>
      <c r="C283" s="62" t="s">
        <v>918</v>
      </c>
      <c r="D283" s="62" t="s">
        <v>919</v>
      </c>
      <c r="E283" s="62" t="str">
        <f>IF(COUNTIF('Giriş Sayfası'!A:A,'TERCİH kontrol'!A283),"Tercihi Var","Tercihi Yok")</f>
        <v>Tercihi Yok</v>
      </c>
      <c r="F283" s="10"/>
      <c r="G283" s="10"/>
      <c r="H283" s="49" t="s">
        <v>920</v>
      </c>
    </row>
    <row r="284" spans="1:8">
      <c r="A284" s="44">
        <v>284</v>
      </c>
      <c r="B284" s="59" t="s">
        <v>168</v>
      </c>
      <c r="C284" s="59" t="s">
        <v>921</v>
      </c>
      <c r="D284" s="59" t="s">
        <v>922</v>
      </c>
      <c r="E284" s="59" t="str">
        <f>IF(COUNTIF('Giriş Sayfası'!A:A,'TERCİH kontrol'!A284),"Tercihi Var","Tercihi Yok")</f>
        <v>Tercihi Var</v>
      </c>
      <c r="F284" s="10"/>
      <c r="G284" s="10"/>
      <c r="H284" s="49" t="s">
        <v>923</v>
      </c>
    </row>
    <row r="285" spans="1:8">
      <c r="A285" s="44">
        <v>285</v>
      </c>
      <c r="B285" s="59" t="s">
        <v>168</v>
      </c>
      <c r="C285" s="59" t="s">
        <v>924</v>
      </c>
      <c r="D285" s="59" t="s">
        <v>16</v>
      </c>
      <c r="E285" s="59" t="str">
        <f>IF(COUNTIF('Giriş Sayfası'!A:A,'TERCİH kontrol'!A285),"Tercihi Var","Tercihi Yok")</f>
        <v>Tercihi Var</v>
      </c>
      <c r="F285" s="10" t="s">
        <v>1154</v>
      </c>
      <c r="G285" s="10" t="s">
        <v>1038</v>
      </c>
      <c r="H285" s="49" t="s">
        <v>925</v>
      </c>
    </row>
    <row r="286" spans="1:8" hidden="1">
      <c r="A286" s="44">
        <v>286</v>
      </c>
      <c r="B286" s="62" t="s">
        <v>169</v>
      </c>
      <c r="C286" s="62" t="s">
        <v>236</v>
      </c>
      <c r="D286" s="62" t="s">
        <v>55</v>
      </c>
      <c r="E286" s="62" t="str">
        <f>IF(COUNTIF('Giriş Sayfası'!A:A,'TERCİH kontrol'!A286),"Tercihi Var","Tercihi Yok")</f>
        <v>Tercihi Yok</v>
      </c>
      <c r="F286" s="10" t="s">
        <v>1163</v>
      </c>
      <c r="G286" s="10"/>
      <c r="H286" s="49" t="s">
        <v>517</v>
      </c>
    </row>
    <row r="287" spans="1:8" hidden="1">
      <c r="A287" s="44">
        <v>287</v>
      </c>
      <c r="B287" s="62" t="s">
        <v>169</v>
      </c>
      <c r="C287" s="62" t="s">
        <v>170</v>
      </c>
      <c r="D287" s="62" t="s">
        <v>171</v>
      </c>
      <c r="E287" s="62" t="str">
        <f>IF(COUNTIF('Giriş Sayfası'!A:A,'TERCİH kontrol'!A287),"Tercihi Var","Tercihi Yok")</f>
        <v>Tercihi Yok</v>
      </c>
      <c r="F287" s="10" t="s">
        <v>1157</v>
      </c>
      <c r="G287" s="10"/>
      <c r="H287" s="49" t="s">
        <v>1151</v>
      </c>
    </row>
    <row r="288" spans="1:8">
      <c r="A288" s="44">
        <v>288</v>
      </c>
      <c r="B288" s="59" t="s">
        <v>172</v>
      </c>
      <c r="C288" s="59" t="s">
        <v>926</v>
      </c>
      <c r="D288" s="59" t="s">
        <v>16</v>
      </c>
      <c r="E288" s="59" t="str">
        <f>IF(COUNTIF('Giriş Sayfası'!A:A,'TERCİH kontrol'!A288),"Tercihi Var","Tercihi Yok")</f>
        <v>Tercihi Var</v>
      </c>
      <c r="F288" s="10"/>
      <c r="G288" s="10"/>
      <c r="H288" s="49" t="s">
        <v>927</v>
      </c>
    </row>
    <row r="289" spans="1:8" hidden="1">
      <c r="A289" s="44">
        <v>289</v>
      </c>
      <c r="B289" s="62" t="s">
        <v>172</v>
      </c>
      <c r="C289" s="62" t="s">
        <v>928</v>
      </c>
      <c r="D289" s="62" t="s">
        <v>929</v>
      </c>
      <c r="E289" s="62" t="str">
        <f>IF(COUNTIF('Giriş Sayfası'!A:A,'TERCİH kontrol'!A289),"Tercihi Var","Tercihi Yok")</f>
        <v>Tercihi Yok</v>
      </c>
      <c r="F289" s="10"/>
      <c r="G289" s="10"/>
      <c r="H289" s="49" t="s">
        <v>930</v>
      </c>
    </row>
    <row r="290" spans="1:8">
      <c r="A290" s="44">
        <v>290</v>
      </c>
      <c r="B290" s="59" t="s">
        <v>172</v>
      </c>
      <c r="C290" s="59" t="s">
        <v>931</v>
      </c>
      <c r="D290" s="59" t="s">
        <v>932</v>
      </c>
      <c r="E290" s="59" t="str">
        <f>IF(COUNTIF('Giriş Sayfası'!A:A,'TERCİH kontrol'!A290),"Tercihi Var","Tercihi Yok")</f>
        <v>Tercihi Var</v>
      </c>
      <c r="F290" s="10"/>
      <c r="G290" s="10"/>
      <c r="H290" s="49" t="s">
        <v>933</v>
      </c>
    </row>
    <row r="291" spans="1:8">
      <c r="A291" s="44">
        <v>291</v>
      </c>
      <c r="B291" s="59" t="s">
        <v>143</v>
      </c>
      <c r="C291" s="59" t="s">
        <v>960</v>
      </c>
      <c r="D291" s="59" t="s">
        <v>243</v>
      </c>
      <c r="E291" s="59" t="str">
        <f>IF(COUNTIF('Giriş Sayfası'!A:A,'TERCİH kontrol'!A291),"Tercihi Var","Tercihi Yok")</f>
        <v>Tercihi Var</v>
      </c>
      <c r="F291" s="10"/>
      <c r="G291" s="10"/>
      <c r="H291" s="49" t="s">
        <v>966</v>
      </c>
    </row>
  </sheetData>
  <autoFilter ref="A2:G291">
    <filterColumn colId="4">
      <filters>
        <filter val="Tercihi Var"/>
      </filters>
    </filterColumn>
  </autoFilter>
  <mergeCells count="1">
    <mergeCell ref="B1:E1"/>
  </mergeCells>
  <pageMargins left="0.7" right="0.7" top="0.75" bottom="0.75" header="0.3" footer="0.3"/>
  <pageSetup paperSize="9" scale="89" orientation="portrait" r:id="rId1"/>
  <colBreaks count="1" manualBreakCount="1">
    <brk id="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G137"/>
  <sheetViews>
    <sheetView view="pageBreakPreview" zoomScaleNormal="100" zoomScaleSheetLayoutView="100" workbookViewId="0">
      <pane ySplit="2" topLeftCell="A120" activePane="bottomLeft" state="frozen"/>
      <selection pane="bottomLeft" activeCell="A3" sqref="A3:A137"/>
    </sheetView>
  </sheetViews>
  <sheetFormatPr defaultRowHeight="12.75"/>
  <cols>
    <col min="1" max="1" width="8" customWidth="1"/>
    <col min="2" max="2" width="19.5703125" customWidth="1"/>
    <col min="3" max="3" width="18.85546875" customWidth="1"/>
    <col min="4" max="5" width="20" customWidth="1"/>
    <col min="6" max="6" width="20.140625" bestFit="1" customWidth="1"/>
    <col min="7" max="7" width="12" bestFit="1" customWidth="1"/>
  </cols>
  <sheetData>
    <row r="1" spans="1:7" ht="30" customHeight="1">
      <c r="A1" s="184" t="s">
        <v>1170</v>
      </c>
      <c r="B1" s="184"/>
      <c r="C1" s="184"/>
      <c r="D1" s="184"/>
      <c r="E1" s="184"/>
      <c r="F1" s="184"/>
    </row>
    <row r="2" spans="1:7" ht="18.75">
      <c r="A2" s="63" t="s">
        <v>1424</v>
      </c>
      <c r="B2" s="63" t="s">
        <v>934</v>
      </c>
      <c r="C2" s="63" t="s">
        <v>1</v>
      </c>
      <c r="D2" s="63" t="s">
        <v>0</v>
      </c>
      <c r="E2" s="63" t="s">
        <v>1138</v>
      </c>
      <c r="F2" s="63" t="s">
        <v>1056</v>
      </c>
      <c r="G2" s="121"/>
    </row>
    <row r="3" spans="1:7" ht="15.6" customHeight="1">
      <c r="A3" s="79">
        <v>1</v>
      </c>
      <c r="B3" s="17" t="s">
        <v>11</v>
      </c>
      <c r="C3" s="17" t="s">
        <v>173</v>
      </c>
      <c r="D3" s="17" t="s">
        <v>174</v>
      </c>
      <c r="E3" s="80"/>
      <c r="F3" s="80"/>
    </row>
    <row r="4" spans="1:7" ht="15.6" customHeight="1">
      <c r="A4" s="79">
        <v>2</v>
      </c>
      <c r="B4" s="17" t="s">
        <v>11</v>
      </c>
      <c r="C4" s="17" t="s">
        <v>250</v>
      </c>
      <c r="D4" s="17" t="s">
        <v>251</v>
      </c>
      <c r="E4" s="80" t="s">
        <v>1154</v>
      </c>
      <c r="F4" s="80" t="s">
        <v>1038</v>
      </c>
    </row>
    <row r="5" spans="1:7" ht="15.6" customHeight="1">
      <c r="A5" s="79">
        <v>3</v>
      </c>
      <c r="B5" s="17" t="s">
        <v>14</v>
      </c>
      <c r="C5" s="17" t="s">
        <v>15</v>
      </c>
      <c r="D5" s="17" t="s">
        <v>16</v>
      </c>
      <c r="E5" s="80"/>
      <c r="F5" s="80" t="s">
        <v>1040</v>
      </c>
    </row>
    <row r="6" spans="1:7" ht="15.6" customHeight="1">
      <c r="A6" s="79">
        <v>4</v>
      </c>
      <c r="B6" s="17" t="s">
        <v>14</v>
      </c>
      <c r="C6" s="17" t="s">
        <v>621</v>
      </c>
      <c r="D6" s="17" t="s">
        <v>622</v>
      </c>
      <c r="E6" s="80"/>
      <c r="F6" s="80"/>
    </row>
    <row r="7" spans="1:7" ht="15.6" customHeight="1">
      <c r="A7" s="79">
        <v>5</v>
      </c>
      <c r="B7" s="17" t="s">
        <v>14</v>
      </c>
      <c r="C7" s="17" t="s">
        <v>624</v>
      </c>
      <c r="D7" s="17" t="s">
        <v>625</v>
      </c>
      <c r="E7" s="80"/>
      <c r="F7" s="80"/>
    </row>
    <row r="8" spans="1:7" ht="15.6" customHeight="1">
      <c r="A8" s="79">
        <v>6</v>
      </c>
      <c r="B8" s="17" t="s">
        <v>19</v>
      </c>
      <c r="C8" s="17" t="s">
        <v>21</v>
      </c>
      <c r="D8" s="17" t="s">
        <v>22</v>
      </c>
      <c r="E8" s="80"/>
      <c r="F8" s="80"/>
    </row>
    <row r="9" spans="1:7" ht="15.6" customHeight="1">
      <c r="A9" s="79">
        <v>7</v>
      </c>
      <c r="B9" s="17" t="s">
        <v>19</v>
      </c>
      <c r="C9" s="17" t="s">
        <v>244</v>
      </c>
      <c r="D9" s="17" t="s">
        <v>13</v>
      </c>
      <c r="E9" s="80"/>
      <c r="F9" s="80" t="s">
        <v>1040</v>
      </c>
    </row>
    <row r="10" spans="1:7" ht="15.6" customHeight="1">
      <c r="A10" s="79">
        <v>8</v>
      </c>
      <c r="B10" s="17" t="s">
        <v>26</v>
      </c>
      <c r="C10" s="17" t="s">
        <v>245</v>
      </c>
      <c r="D10" s="17" t="s">
        <v>193</v>
      </c>
      <c r="E10" s="80"/>
      <c r="F10" s="80"/>
    </row>
    <row r="11" spans="1:7" ht="15.6" customHeight="1">
      <c r="A11" s="79">
        <v>9</v>
      </c>
      <c r="B11" s="17" t="s">
        <v>26</v>
      </c>
      <c r="C11" s="17" t="s">
        <v>28</v>
      </c>
      <c r="D11" s="17" t="s">
        <v>29</v>
      </c>
      <c r="E11" s="80"/>
      <c r="F11" s="80"/>
    </row>
    <row r="12" spans="1:7" ht="15.6" customHeight="1">
      <c r="A12" s="79">
        <v>10</v>
      </c>
      <c r="B12" s="17" t="s">
        <v>31</v>
      </c>
      <c r="C12" s="17" t="s">
        <v>178</v>
      </c>
      <c r="D12" s="17" t="s">
        <v>179</v>
      </c>
      <c r="E12" s="80"/>
      <c r="F12" s="80" t="s">
        <v>1048</v>
      </c>
    </row>
    <row r="13" spans="1:7" ht="15.6" customHeight="1">
      <c r="A13" s="79">
        <v>11</v>
      </c>
      <c r="B13" s="17" t="s">
        <v>31</v>
      </c>
      <c r="C13" s="17" t="s">
        <v>75</v>
      </c>
      <c r="D13" s="17" t="s">
        <v>79</v>
      </c>
      <c r="E13" s="80"/>
      <c r="F13" s="80"/>
    </row>
    <row r="14" spans="1:7" ht="15.6" customHeight="1">
      <c r="A14" s="79">
        <v>12</v>
      </c>
      <c r="B14" s="17" t="s">
        <v>31</v>
      </c>
      <c r="C14" s="17" t="s">
        <v>15</v>
      </c>
      <c r="D14" s="17" t="s">
        <v>637</v>
      </c>
      <c r="E14" s="80"/>
      <c r="F14" s="80"/>
    </row>
    <row r="15" spans="1:7" ht="15.6" customHeight="1">
      <c r="A15" s="79">
        <v>13</v>
      </c>
      <c r="B15" s="17" t="s">
        <v>31</v>
      </c>
      <c r="C15" s="17" t="s">
        <v>176</v>
      </c>
      <c r="D15" s="17" t="s">
        <v>177</v>
      </c>
      <c r="E15" s="80" t="s">
        <v>1155</v>
      </c>
      <c r="F15" s="80"/>
    </row>
    <row r="16" spans="1:7" ht="15.6" customHeight="1">
      <c r="A16" s="79">
        <v>14</v>
      </c>
      <c r="B16" s="17" t="s">
        <v>31</v>
      </c>
      <c r="C16" s="17" t="s">
        <v>247</v>
      </c>
      <c r="D16" s="17" t="s">
        <v>248</v>
      </c>
      <c r="E16" s="80" t="s">
        <v>1154</v>
      </c>
      <c r="F16" s="80" t="s">
        <v>1038</v>
      </c>
    </row>
    <row r="17" spans="1:6" ht="15.6" customHeight="1">
      <c r="A17" s="79">
        <v>15</v>
      </c>
      <c r="B17" s="17" t="s">
        <v>31</v>
      </c>
      <c r="C17" s="17" t="s">
        <v>39</v>
      </c>
      <c r="D17" s="17" t="s">
        <v>60</v>
      </c>
      <c r="E17" s="80" t="s">
        <v>1154</v>
      </c>
      <c r="F17" s="80" t="s">
        <v>1038</v>
      </c>
    </row>
    <row r="18" spans="1:6" ht="15.6" customHeight="1">
      <c r="A18" s="79">
        <v>16</v>
      </c>
      <c r="B18" s="17" t="s">
        <v>31</v>
      </c>
      <c r="C18" s="17" t="s">
        <v>217</v>
      </c>
      <c r="D18" s="17" t="s">
        <v>341</v>
      </c>
      <c r="E18" s="80"/>
      <c r="F18" s="80"/>
    </row>
    <row r="19" spans="1:6" ht="15.6" customHeight="1">
      <c r="A19" s="79">
        <v>17</v>
      </c>
      <c r="B19" s="17" t="s">
        <v>31</v>
      </c>
      <c r="C19" s="17" t="s">
        <v>218</v>
      </c>
      <c r="D19" s="17" t="s">
        <v>252</v>
      </c>
      <c r="E19" s="80"/>
      <c r="F19" s="80"/>
    </row>
    <row r="20" spans="1:6" ht="15.6" customHeight="1">
      <c r="A20" s="79">
        <v>18</v>
      </c>
      <c r="B20" s="17" t="s">
        <v>37</v>
      </c>
      <c r="C20" s="17" t="s">
        <v>12</v>
      </c>
      <c r="D20" s="17" t="s">
        <v>253</v>
      </c>
      <c r="E20" s="80"/>
      <c r="F20" s="80"/>
    </row>
    <row r="21" spans="1:6" ht="15.6" customHeight="1">
      <c r="A21" s="79">
        <v>19</v>
      </c>
      <c r="B21" s="17" t="s">
        <v>41</v>
      </c>
      <c r="C21" s="17" t="s">
        <v>32</v>
      </c>
      <c r="D21" s="17" t="s">
        <v>99</v>
      </c>
      <c r="E21" s="80" t="s">
        <v>1156</v>
      </c>
      <c r="F21" s="80"/>
    </row>
    <row r="22" spans="1:6" ht="15.6" customHeight="1">
      <c r="A22" s="79">
        <v>20</v>
      </c>
      <c r="B22" s="17" t="s">
        <v>15</v>
      </c>
      <c r="C22" s="17" t="s">
        <v>256</v>
      </c>
      <c r="D22" s="17" t="s">
        <v>100</v>
      </c>
      <c r="E22" s="80" t="s">
        <v>1157</v>
      </c>
      <c r="F22" s="80"/>
    </row>
    <row r="23" spans="1:6" ht="15.6" customHeight="1">
      <c r="A23" s="79">
        <v>21</v>
      </c>
      <c r="B23" s="17" t="s">
        <v>47</v>
      </c>
      <c r="C23" s="17" t="s">
        <v>48</v>
      </c>
      <c r="D23" s="17" t="s">
        <v>49</v>
      </c>
      <c r="E23" s="80" t="s">
        <v>1157</v>
      </c>
      <c r="F23" s="80"/>
    </row>
    <row r="24" spans="1:6" ht="15.6" customHeight="1">
      <c r="A24" s="79">
        <v>22</v>
      </c>
      <c r="B24" s="17" t="s">
        <v>54</v>
      </c>
      <c r="C24" s="17" t="s">
        <v>679</v>
      </c>
      <c r="D24" s="17" t="s">
        <v>680</v>
      </c>
      <c r="E24" s="80"/>
      <c r="F24" s="80"/>
    </row>
    <row r="25" spans="1:6" ht="15.6" customHeight="1">
      <c r="A25" s="79">
        <v>23</v>
      </c>
      <c r="B25" s="17" t="s">
        <v>54</v>
      </c>
      <c r="C25" s="17" t="s">
        <v>56</v>
      </c>
      <c r="D25" s="17" t="s">
        <v>57</v>
      </c>
      <c r="E25" s="80" t="s">
        <v>1157</v>
      </c>
      <c r="F25" s="80" t="s">
        <v>1038</v>
      </c>
    </row>
    <row r="26" spans="1:6" ht="15.6" customHeight="1">
      <c r="A26" s="79">
        <v>24</v>
      </c>
      <c r="B26" s="17" t="s">
        <v>58</v>
      </c>
      <c r="C26" s="17" t="s">
        <v>682</v>
      </c>
      <c r="D26" s="17" t="s">
        <v>683</v>
      </c>
      <c r="E26" s="80"/>
      <c r="F26" s="80"/>
    </row>
    <row r="27" spans="1:6" ht="15.6" customHeight="1">
      <c r="A27" s="79">
        <v>25</v>
      </c>
      <c r="B27" s="17" t="s">
        <v>65</v>
      </c>
      <c r="C27" s="17" t="s">
        <v>257</v>
      </c>
      <c r="D27" s="17" t="s">
        <v>258</v>
      </c>
      <c r="E27" s="80" t="s">
        <v>1154</v>
      </c>
      <c r="F27" s="80" t="s">
        <v>1056</v>
      </c>
    </row>
    <row r="28" spans="1:6" ht="15.6" customHeight="1">
      <c r="A28" s="79">
        <v>26</v>
      </c>
      <c r="B28" s="17" t="s">
        <v>65</v>
      </c>
      <c r="C28" s="17" t="s">
        <v>38</v>
      </c>
      <c r="D28" s="17" t="s">
        <v>189</v>
      </c>
      <c r="E28" s="80" t="s">
        <v>1157</v>
      </c>
      <c r="F28" s="80"/>
    </row>
    <row r="29" spans="1:6" ht="15.6" customHeight="1">
      <c r="A29" s="79">
        <v>27</v>
      </c>
      <c r="B29" s="17" t="s">
        <v>65</v>
      </c>
      <c r="C29" s="17" t="s">
        <v>155</v>
      </c>
      <c r="D29" s="17" t="s">
        <v>16</v>
      </c>
      <c r="E29" s="80"/>
      <c r="F29" s="80" t="s">
        <v>1160</v>
      </c>
    </row>
    <row r="30" spans="1:6" ht="15.6" customHeight="1">
      <c r="A30" s="79">
        <v>28</v>
      </c>
      <c r="B30" s="17" t="s">
        <v>66</v>
      </c>
      <c r="C30" s="17" t="s">
        <v>217</v>
      </c>
      <c r="D30" s="17" t="s">
        <v>34</v>
      </c>
      <c r="E30" s="80" t="s">
        <v>1161</v>
      </c>
      <c r="F30" s="80"/>
    </row>
    <row r="31" spans="1:6" ht="15.6" customHeight="1">
      <c r="A31" s="79">
        <v>29</v>
      </c>
      <c r="B31" s="17" t="s">
        <v>67</v>
      </c>
      <c r="C31" s="17" t="s">
        <v>263</v>
      </c>
      <c r="D31" s="17" t="s">
        <v>264</v>
      </c>
      <c r="E31" s="80" t="s">
        <v>1161</v>
      </c>
      <c r="F31" s="80"/>
    </row>
    <row r="32" spans="1:6" ht="15.6" customHeight="1">
      <c r="A32" s="79">
        <v>30</v>
      </c>
      <c r="B32" s="17" t="s">
        <v>69</v>
      </c>
      <c r="C32" s="17" t="s">
        <v>246</v>
      </c>
      <c r="D32" s="17" t="s">
        <v>265</v>
      </c>
      <c r="E32" s="80"/>
      <c r="F32" s="80" t="s">
        <v>1056</v>
      </c>
    </row>
    <row r="33" spans="1:6" ht="15.6" customHeight="1">
      <c r="A33" s="79">
        <v>31</v>
      </c>
      <c r="B33" s="17" t="s">
        <v>69</v>
      </c>
      <c r="C33" s="17" t="s">
        <v>25</v>
      </c>
      <c r="D33" s="17" t="s">
        <v>710</v>
      </c>
      <c r="E33" s="80"/>
      <c r="F33" s="80"/>
    </row>
    <row r="34" spans="1:6" ht="15.6" customHeight="1">
      <c r="A34" s="79">
        <v>32</v>
      </c>
      <c r="B34" s="17" t="s">
        <v>73</v>
      </c>
      <c r="C34" s="17" t="s">
        <v>266</v>
      </c>
      <c r="D34" s="17" t="s">
        <v>70</v>
      </c>
      <c r="E34" s="80" t="s">
        <v>1161</v>
      </c>
      <c r="F34" s="80"/>
    </row>
    <row r="35" spans="1:6" ht="15.6" customHeight="1">
      <c r="A35" s="79">
        <v>33</v>
      </c>
      <c r="B35" s="17" t="s">
        <v>73</v>
      </c>
      <c r="C35" s="17" t="s">
        <v>267</v>
      </c>
      <c r="D35" s="17" t="s">
        <v>268</v>
      </c>
      <c r="E35" s="80"/>
      <c r="F35" s="80"/>
    </row>
    <row r="36" spans="1:6" ht="15.6" customHeight="1">
      <c r="A36" s="79">
        <v>34</v>
      </c>
      <c r="B36" s="17" t="s">
        <v>74</v>
      </c>
      <c r="C36" s="17" t="s">
        <v>269</v>
      </c>
      <c r="D36" s="17" t="s">
        <v>270</v>
      </c>
      <c r="E36" s="80"/>
      <c r="F36" s="80"/>
    </row>
    <row r="37" spans="1:6" ht="15.6" customHeight="1">
      <c r="A37" s="79">
        <v>35</v>
      </c>
      <c r="B37" s="17" t="s">
        <v>74</v>
      </c>
      <c r="C37" s="17" t="s">
        <v>77</v>
      </c>
      <c r="D37" s="17" t="s">
        <v>78</v>
      </c>
      <c r="E37" s="80"/>
      <c r="F37" s="80"/>
    </row>
    <row r="38" spans="1:6" ht="15.6" customHeight="1">
      <c r="A38" s="79">
        <v>36</v>
      </c>
      <c r="B38" s="17" t="s">
        <v>82</v>
      </c>
      <c r="C38" s="17" t="s">
        <v>724</v>
      </c>
      <c r="D38" s="17" t="s">
        <v>725</v>
      </c>
      <c r="E38" s="80"/>
      <c r="F38" s="80"/>
    </row>
    <row r="39" spans="1:6" ht="15.6" customHeight="1">
      <c r="A39" s="79">
        <v>37</v>
      </c>
      <c r="B39" s="17" t="s">
        <v>82</v>
      </c>
      <c r="C39" s="17" t="s">
        <v>730</v>
      </c>
      <c r="D39" s="17" t="s">
        <v>731</v>
      </c>
      <c r="E39" s="80"/>
      <c r="F39" s="80"/>
    </row>
    <row r="40" spans="1:6" ht="15.6" customHeight="1">
      <c r="A40" s="79">
        <v>38</v>
      </c>
      <c r="B40" s="17" t="s">
        <v>85</v>
      </c>
      <c r="C40" s="17" t="s">
        <v>192</v>
      </c>
      <c r="D40" s="17" t="s">
        <v>36</v>
      </c>
      <c r="E40" s="80"/>
      <c r="F40" s="80"/>
    </row>
    <row r="41" spans="1:6" ht="15.6" customHeight="1">
      <c r="A41" s="79">
        <v>39</v>
      </c>
      <c r="B41" s="17" t="s">
        <v>87</v>
      </c>
      <c r="C41" s="17" t="s">
        <v>88</v>
      </c>
      <c r="D41" s="17" t="s">
        <v>89</v>
      </c>
      <c r="E41" s="80" t="s">
        <v>1157</v>
      </c>
      <c r="F41" s="80"/>
    </row>
    <row r="42" spans="1:6" ht="15.6" customHeight="1">
      <c r="A42" s="79">
        <v>40</v>
      </c>
      <c r="B42" s="17" t="s">
        <v>87</v>
      </c>
      <c r="C42" s="17" t="s">
        <v>735</v>
      </c>
      <c r="D42" s="17" t="s">
        <v>736</v>
      </c>
      <c r="E42" s="80" t="s">
        <v>1156</v>
      </c>
      <c r="F42" s="80"/>
    </row>
    <row r="43" spans="1:6" ht="15.6" customHeight="1">
      <c r="A43" s="79">
        <v>41</v>
      </c>
      <c r="B43" s="17" t="s">
        <v>91</v>
      </c>
      <c r="C43" s="17" t="s">
        <v>195</v>
      </c>
      <c r="D43" s="17" t="s">
        <v>196</v>
      </c>
      <c r="E43" s="80"/>
      <c r="F43" s="80"/>
    </row>
    <row r="44" spans="1:6" ht="15.6" customHeight="1">
      <c r="A44" s="79">
        <v>42</v>
      </c>
      <c r="B44" s="17" t="s">
        <v>91</v>
      </c>
      <c r="C44" s="17" t="s">
        <v>278</v>
      </c>
      <c r="D44" s="17" t="s">
        <v>137</v>
      </c>
      <c r="E44" s="80"/>
      <c r="F44" s="80" t="s">
        <v>1056</v>
      </c>
    </row>
    <row r="45" spans="1:6" ht="15.6" customHeight="1">
      <c r="A45" s="79">
        <v>43</v>
      </c>
      <c r="B45" s="17" t="s">
        <v>92</v>
      </c>
      <c r="C45" s="17" t="s">
        <v>198</v>
      </c>
      <c r="D45" s="17" t="s">
        <v>1092</v>
      </c>
      <c r="E45" s="80"/>
      <c r="F45" s="80"/>
    </row>
    <row r="46" spans="1:6" ht="15.6" customHeight="1">
      <c r="A46" s="79">
        <v>44</v>
      </c>
      <c r="B46" s="17" t="s">
        <v>92</v>
      </c>
      <c r="C46" s="17" t="s">
        <v>280</v>
      </c>
      <c r="D46" s="17" t="s">
        <v>16</v>
      </c>
      <c r="E46" s="80"/>
      <c r="F46" s="80"/>
    </row>
    <row r="47" spans="1:6" ht="15.6" customHeight="1">
      <c r="A47" s="79">
        <v>45</v>
      </c>
      <c r="B47" s="17" t="s">
        <v>95</v>
      </c>
      <c r="C47" s="17" t="s">
        <v>15</v>
      </c>
      <c r="D47" s="17" t="s">
        <v>748</v>
      </c>
      <c r="E47" s="80" t="s">
        <v>1163</v>
      </c>
      <c r="F47" s="80"/>
    </row>
    <row r="48" spans="1:6" ht="15.6" customHeight="1">
      <c r="A48" s="79">
        <v>46</v>
      </c>
      <c r="B48" s="17" t="s">
        <v>97</v>
      </c>
      <c r="C48" s="17" t="s">
        <v>284</v>
      </c>
      <c r="D48" s="17" t="s">
        <v>285</v>
      </c>
      <c r="E48" s="80"/>
      <c r="F48" s="80"/>
    </row>
    <row r="49" spans="1:6" ht="15.6" customHeight="1">
      <c r="A49" s="79">
        <v>47</v>
      </c>
      <c r="B49" s="17" t="s">
        <v>751</v>
      </c>
      <c r="C49" s="17" t="s">
        <v>752</v>
      </c>
      <c r="D49" s="17" t="s">
        <v>753</v>
      </c>
      <c r="E49" s="80"/>
      <c r="F49" s="80"/>
    </row>
    <row r="50" spans="1:6" ht="15.6" customHeight="1">
      <c r="A50" s="79">
        <v>48</v>
      </c>
      <c r="B50" s="17" t="s">
        <v>98</v>
      </c>
      <c r="C50" s="17" t="s">
        <v>755</v>
      </c>
      <c r="D50" s="17" t="s">
        <v>281</v>
      </c>
      <c r="E50" s="80"/>
      <c r="F50" s="80" t="s">
        <v>1040</v>
      </c>
    </row>
    <row r="51" spans="1:6" ht="15.6" customHeight="1">
      <c r="A51" s="79">
        <v>49</v>
      </c>
      <c r="B51" s="17" t="s">
        <v>98</v>
      </c>
      <c r="C51" s="17" t="s">
        <v>288</v>
      </c>
      <c r="D51" s="17" t="s">
        <v>106</v>
      </c>
      <c r="E51" s="80"/>
      <c r="F51" s="80"/>
    </row>
    <row r="52" spans="1:6" ht="15.6" customHeight="1">
      <c r="A52" s="79">
        <v>50</v>
      </c>
      <c r="B52" s="17" t="s">
        <v>98</v>
      </c>
      <c r="C52" s="17" t="s">
        <v>201</v>
      </c>
      <c r="D52" s="17" t="s">
        <v>202</v>
      </c>
      <c r="E52" s="80"/>
      <c r="F52" s="80" t="s">
        <v>1056</v>
      </c>
    </row>
    <row r="53" spans="1:6" ht="15.6" customHeight="1">
      <c r="A53" s="79">
        <v>51</v>
      </c>
      <c r="B53" s="17" t="s">
        <v>101</v>
      </c>
      <c r="C53" s="17" t="s">
        <v>102</v>
      </c>
      <c r="D53" s="17" t="s">
        <v>103</v>
      </c>
      <c r="E53" s="80" t="s">
        <v>1165</v>
      </c>
      <c r="F53" s="80"/>
    </row>
    <row r="54" spans="1:6" ht="15.6" customHeight="1">
      <c r="A54" s="79">
        <v>52</v>
      </c>
      <c r="B54" s="17" t="s">
        <v>101</v>
      </c>
      <c r="C54" s="17" t="s">
        <v>763</v>
      </c>
      <c r="D54" s="17" t="s">
        <v>308</v>
      </c>
      <c r="E54" s="80"/>
      <c r="F54" s="80"/>
    </row>
    <row r="55" spans="1:6" ht="15.6" customHeight="1">
      <c r="A55" s="79">
        <v>53</v>
      </c>
      <c r="B55" s="17" t="s">
        <v>101</v>
      </c>
      <c r="C55" s="17" t="s">
        <v>755</v>
      </c>
      <c r="D55" s="17" t="s">
        <v>89</v>
      </c>
      <c r="E55" s="80"/>
      <c r="F55" s="80"/>
    </row>
    <row r="56" spans="1:6" ht="15.6" customHeight="1">
      <c r="A56" s="79">
        <v>54</v>
      </c>
      <c r="B56" s="17" t="s">
        <v>104</v>
      </c>
      <c r="C56" s="17" t="s">
        <v>183</v>
      </c>
      <c r="D56" s="17" t="s">
        <v>289</v>
      </c>
      <c r="E56" s="80"/>
      <c r="F56" s="80"/>
    </row>
    <row r="57" spans="1:6" ht="15.6" customHeight="1">
      <c r="A57" s="79">
        <v>55</v>
      </c>
      <c r="B57" s="17" t="s">
        <v>104</v>
      </c>
      <c r="C57" s="17" t="s">
        <v>274</v>
      </c>
      <c r="D57" s="17" t="s">
        <v>275</v>
      </c>
      <c r="E57" s="80"/>
      <c r="F57" s="80" t="s">
        <v>1040</v>
      </c>
    </row>
    <row r="58" spans="1:6" ht="15.6" customHeight="1">
      <c r="A58" s="79">
        <v>56</v>
      </c>
      <c r="B58" s="17" t="s">
        <v>104</v>
      </c>
      <c r="C58" s="17" t="s">
        <v>205</v>
      </c>
      <c r="D58" s="17" t="s">
        <v>76</v>
      </c>
      <c r="E58" s="80"/>
      <c r="F58" s="80"/>
    </row>
    <row r="59" spans="1:6" ht="15.6" customHeight="1">
      <c r="A59" s="79">
        <v>57</v>
      </c>
      <c r="B59" s="17" t="s">
        <v>104</v>
      </c>
      <c r="C59" s="17" t="s">
        <v>206</v>
      </c>
      <c r="D59" s="17" t="s">
        <v>207</v>
      </c>
      <c r="E59" s="80"/>
      <c r="F59" s="80"/>
    </row>
    <row r="60" spans="1:6" ht="15.6" customHeight="1">
      <c r="A60" s="79">
        <v>58</v>
      </c>
      <c r="B60" s="17" t="s">
        <v>104</v>
      </c>
      <c r="C60" s="17" t="s">
        <v>96</v>
      </c>
      <c r="D60" s="17" t="s">
        <v>68</v>
      </c>
      <c r="E60" s="80" t="s">
        <v>1154</v>
      </c>
      <c r="F60" s="80" t="s">
        <v>1038</v>
      </c>
    </row>
    <row r="61" spans="1:6" ht="15.6" customHeight="1">
      <c r="A61" s="79">
        <v>59</v>
      </c>
      <c r="B61" s="17" t="s">
        <v>104</v>
      </c>
      <c r="C61" s="17" t="s">
        <v>290</v>
      </c>
      <c r="D61" s="17" t="s">
        <v>291</v>
      </c>
      <c r="E61" s="80"/>
      <c r="F61" s="80"/>
    </row>
    <row r="62" spans="1:6" ht="15.6" customHeight="1">
      <c r="A62" s="79">
        <v>60</v>
      </c>
      <c r="B62" s="17" t="s">
        <v>104</v>
      </c>
      <c r="C62" s="17" t="s">
        <v>773</v>
      </c>
      <c r="D62" s="17" t="s">
        <v>774</v>
      </c>
      <c r="E62" s="80"/>
      <c r="F62" s="80"/>
    </row>
    <row r="63" spans="1:6" ht="15.6" customHeight="1">
      <c r="A63" s="79">
        <v>61</v>
      </c>
      <c r="B63" s="17" t="s">
        <v>104</v>
      </c>
      <c r="C63" s="17" t="s">
        <v>185</v>
      </c>
      <c r="D63" s="17" t="s">
        <v>186</v>
      </c>
      <c r="E63" s="80" t="s">
        <v>1154</v>
      </c>
      <c r="F63" s="80" t="s">
        <v>1038</v>
      </c>
    </row>
    <row r="64" spans="1:6" ht="15.6" customHeight="1">
      <c r="A64" s="79">
        <v>62</v>
      </c>
      <c r="B64" s="17" t="s">
        <v>104</v>
      </c>
      <c r="C64" s="17" t="s">
        <v>780</v>
      </c>
      <c r="D64" s="17" t="s">
        <v>781</v>
      </c>
      <c r="E64" s="80"/>
      <c r="F64" s="80"/>
    </row>
    <row r="65" spans="1:6" ht="15.6" customHeight="1">
      <c r="A65" s="79">
        <v>63</v>
      </c>
      <c r="B65" s="17" t="s">
        <v>104</v>
      </c>
      <c r="C65" s="17" t="s">
        <v>783</v>
      </c>
      <c r="D65" s="17" t="s">
        <v>131</v>
      </c>
      <c r="E65" s="80" t="s">
        <v>1153</v>
      </c>
      <c r="F65" s="80"/>
    </row>
    <row r="66" spans="1:6" ht="15.6" customHeight="1">
      <c r="A66" s="79">
        <v>64</v>
      </c>
      <c r="B66" s="17" t="s">
        <v>104</v>
      </c>
      <c r="C66" s="17" t="s">
        <v>788</v>
      </c>
      <c r="D66" s="17" t="s">
        <v>279</v>
      </c>
      <c r="E66" s="80"/>
      <c r="F66" s="80"/>
    </row>
    <row r="67" spans="1:6" ht="15.6" customHeight="1">
      <c r="A67" s="79">
        <v>65</v>
      </c>
      <c r="B67" s="17" t="s">
        <v>104</v>
      </c>
      <c r="C67" s="17" t="s">
        <v>295</v>
      </c>
      <c r="D67" s="17" t="s">
        <v>296</v>
      </c>
      <c r="E67" s="80" t="s">
        <v>1154</v>
      </c>
      <c r="F67" s="80" t="s">
        <v>1038</v>
      </c>
    </row>
    <row r="68" spans="1:6" ht="15.6" customHeight="1">
      <c r="A68" s="79">
        <v>66</v>
      </c>
      <c r="B68" s="17" t="s">
        <v>104</v>
      </c>
      <c r="C68" s="17" t="s">
        <v>155</v>
      </c>
      <c r="D68" s="17" t="s">
        <v>231</v>
      </c>
      <c r="E68" s="80" t="s">
        <v>1157</v>
      </c>
      <c r="F68" s="80"/>
    </row>
    <row r="69" spans="1:6" ht="15.6" customHeight="1">
      <c r="A69" s="79">
        <v>67</v>
      </c>
      <c r="B69" s="17" t="s">
        <v>104</v>
      </c>
      <c r="C69" s="17" t="s">
        <v>212</v>
      </c>
      <c r="D69" s="17" t="s">
        <v>213</v>
      </c>
      <c r="E69" s="80"/>
      <c r="F69" s="80"/>
    </row>
    <row r="70" spans="1:6" ht="15.6" customHeight="1">
      <c r="A70" s="79">
        <v>68</v>
      </c>
      <c r="B70" s="17" t="s">
        <v>104</v>
      </c>
      <c r="C70" s="17" t="s">
        <v>344</v>
      </c>
      <c r="D70" s="17" t="s">
        <v>345</v>
      </c>
      <c r="E70" s="80" t="s">
        <v>1166</v>
      </c>
      <c r="F70" s="80" t="s">
        <v>1056</v>
      </c>
    </row>
    <row r="71" spans="1:6" ht="15.6" customHeight="1">
      <c r="A71" s="79">
        <v>69</v>
      </c>
      <c r="B71" s="17" t="s">
        <v>104</v>
      </c>
      <c r="C71" s="17" t="s">
        <v>148</v>
      </c>
      <c r="D71" s="17" t="s">
        <v>18</v>
      </c>
      <c r="E71" s="80" t="s">
        <v>1161</v>
      </c>
      <c r="F71" s="80"/>
    </row>
    <row r="72" spans="1:6" ht="15.6" customHeight="1">
      <c r="A72" s="79">
        <v>70</v>
      </c>
      <c r="B72" s="17" t="s">
        <v>104</v>
      </c>
      <c r="C72" s="17" t="s">
        <v>214</v>
      </c>
      <c r="D72" s="17" t="s">
        <v>215</v>
      </c>
      <c r="E72" s="80" t="s">
        <v>1157</v>
      </c>
      <c r="F72" s="80"/>
    </row>
    <row r="73" spans="1:6" ht="15.6" customHeight="1">
      <c r="A73" s="79">
        <v>71</v>
      </c>
      <c r="B73" s="17" t="s">
        <v>104</v>
      </c>
      <c r="C73" s="17" t="s">
        <v>299</v>
      </c>
      <c r="D73" s="17" t="s">
        <v>300</v>
      </c>
      <c r="E73" s="80" t="s">
        <v>1154</v>
      </c>
      <c r="F73" s="80" t="s">
        <v>1038</v>
      </c>
    </row>
    <row r="74" spans="1:6" ht="15.6" customHeight="1">
      <c r="A74" s="79">
        <v>72</v>
      </c>
      <c r="B74" s="17" t="s">
        <v>104</v>
      </c>
      <c r="C74" s="17" t="s">
        <v>301</v>
      </c>
      <c r="D74" s="17" t="s">
        <v>302</v>
      </c>
      <c r="E74" s="80"/>
      <c r="F74" s="80"/>
    </row>
    <row r="75" spans="1:6" ht="15.6" customHeight="1">
      <c r="A75" s="79">
        <v>73</v>
      </c>
      <c r="B75" s="17" t="s">
        <v>104</v>
      </c>
      <c r="C75" s="17" t="s">
        <v>217</v>
      </c>
      <c r="D75" s="17" t="s">
        <v>120</v>
      </c>
      <c r="E75" s="80"/>
      <c r="F75" s="80"/>
    </row>
    <row r="76" spans="1:6" ht="15.6" customHeight="1">
      <c r="A76" s="79">
        <v>74</v>
      </c>
      <c r="B76" s="17" t="s">
        <v>104</v>
      </c>
      <c r="C76" s="17" t="s">
        <v>219</v>
      </c>
      <c r="D76" s="17" t="s">
        <v>190</v>
      </c>
      <c r="E76" s="80"/>
      <c r="F76" s="80"/>
    </row>
    <row r="77" spans="1:6" ht="15.6" customHeight="1">
      <c r="A77" s="79">
        <v>75</v>
      </c>
      <c r="B77" s="17" t="s">
        <v>104</v>
      </c>
      <c r="C77" s="17" t="s">
        <v>115</v>
      </c>
      <c r="D77" s="17" t="s">
        <v>220</v>
      </c>
      <c r="E77" s="80"/>
      <c r="F77" s="80"/>
    </row>
    <row r="78" spans="1:6" ht="15.6" customHeight="1">
      <c r="A78" s="79">
        <v>76</v>
      </c>
      <c r="B78" s="17" t="s">
        <v>111</v>
      </c>
      <c r="C78" s="17" t="s">
        <v>221</v>
      </c>
      <c r="D78" s="17" t="s">
        <v>84</v>
      </c>
      <c r="E78" s="80" t="s">
        <v>1154</v>
      </c>
      <c r="F78" s="80" t="s">
        <v>1038</v>
      </c>
    </row>
    <row r="79" spans="1:6" ht="15.6" customHeight="1">
      <c r="A79" s="79">
        <v>77</v>
      </c>
      <c r="B79" s="17" t="s">
        <v>111</v>
      </c>
      <c r="C79" s="17" t="s">
        <v>25</v>
      </c>
      <c r="D79" s="17" t="s">
        <v>307</v>
      </c>
      <c r="E79" s="80"/>
      <c r="F79" s="80" t="s">
        <v>1056</v>
      </c>
    </row>
    <row r="80" spans="1:6" ht="15.6" customHeight="1">
      <c r="A80" s="79">
        <v>78</v>
      </c>
      <c r="B80" s="17" t="s">
        <v>111</v>
      </c>
      <c r="C80" s="17" t="s">
        <v>71</v>
      </c>
      <c r="D80" s="17" t="s">
        <v>86</v>
      </c>
      <c r="E80" s="80"/>
      <c r="F80" s="80"/>
    </row>
    <row r="81" spans="1:6" ht="15.6" customHeight="1">
      <c r="A81" s="79">
        <v>79</v>
      </c>
      <c r="B81" s="17" t="s">
        <v>112</v>
      </c>
      <c r="C81" s="17" t="s">
        <v>222</v>
      </c>
      <c r="D81" s="17" t="s">
        <v>309</v>
      </c>
      <c r="E81" s="80" t="s">
        <v>1157</v>
      </c>
      <c r="F81" s="80"/>
    </row>
    <row r="82" spans="1:6" ht="15.6" customHeight="1">
      <c r="A82" s="79">
        <v>80</v>
      </c>
      <c r="B82" s="17" t="s">
        <v>112</v>
      </c>
      <c r="C82" s="17" t="s">
        <v>184</v>
      </c>
      <c r="D82" s="17" t="s">
        <v>16</v>
      </c>
      <c r="E82" s="80" t="s">
        <v>1153</v>
      </c>
      <c r="F82" s="80"/>
    </row>
    <row r="83" spans="1:6" ht="15.6" customHeight="1">
      <c r="A83" s="79">
        <v>81</v>
      </c>
      <c r="B83" s="17" t="s">
        <v>112</v>
      </c>
      <c r="C83" s="17" t="s">
        <v>815</v>
      </c>
      <c r="D83" s="17" t="s">
        <v>816</v>
      </c>
      <c r="E83" s="80"/>
      <c r="F83" s="80"/>
    </row>
    <row r="84" spans="1:6" ht="15.6" customHeight="1">
      <c r="A84" s="79">
        <v>82</v>
      </c>
      <c r="B84" s="17" t="s">
        <v>112</v>
      </c>
      <c r="C84" s="17" t="s">
        <v>115</v>
      </c>
      <c r="D84" s="17" t="s">
        <v>223</v>
      </c>
      <c r="E84" s="80" t="s">
        <v>1154</v>
      </c>
      <c r="F84" s="80" t="s">
        <v>1038</v>
      </c>
    </row>
    <row r="85" spans="1:6" ht="15.6" customHeight="1">
      <c r="A85" s="79">
        <v>83</v>
      </c>
      <c r="B85" s="17" t="s">
        <v>116</v>
      </c>
      <c r="C85" s="17" t="s">
        <v>226</v>
      </c>
      <c r="D85" s="17" t="s">
        <v>89</v>
      </c>
      <c r="E85" s="80"/>
      <c r="F85" s="80"/>
    </row>
    <row r="86" spans="1:6" ht="15.6" customHeight="1">
      <c r="A86" s="79">
        <v>84</v>
      </c>
      <c r="B86" s="17" t="s">
        <v>118</v>
      </c>
      <c r="C86" s="17" t="s">
        <v>75</v>
      </c>
      <c r="D86" s="17" t="s">
        <v>16</v>
      </c>
      <c r="E86" s="80"/>
      <c r="F86" s="80" t="s">
        <v>1056</v>
      </c>
    </row>
    <row r="87" spans="1:6" ht="15.6" customHeight="1">
      <c r="A87" s="79">
        <v>85</v>
      </c>
      <c r="B87" s="17" t="s">
        <v>118</v>
      </c>
      <c r="C87" s="17" t="s">
        <v>155</v>
      </c>
      <c r="D87" s="17" t="s">
        <v>827</v>
      </c>
      <c r="E87" s="80" t="s">
        <v>1157</v>
      </c>
      <c r="F87" s="80"/>
    </row>
    <row r="88" spans="1:6" ht="15.6" customHeight="1">
      <c r="A88" s="79">
        <v>86</v>
      </c>
      <c r="B88" s="17" t="s">
        <v>119</v>
      </c>
      <c r="C88" s="17" t="s">
        <v>121</v>
      </c>
      <c r="D88" s="17" t="s">
        <v>122</v>
      </c>
      <c r="E88" s="80"/>
      <c r="F88" s="80"/>
    </row>
    <row r="89" spans="1:6" ht="15.6" customHeight="1">
      <c r="A89" s="79">
        <v>87</v>
      </c>
      <c r="B89" s="17" t="s">
        <v>123</v>
      </c>
      <c r="C89" s="17" t="s">
        <v>124</v>
      </c>
      <c r="D89" s="17" t="s">
        <v>100</v>
      </c>
      <c r="E89" s="80" t="s">
        <v>1157</v>
      </c>
      <c r="F89" s="80"/>
    </row>
    <row r="90" spans="1:6" ht="15.6" customHeight="1">
      <c r="A90" s="79">
        <v>88</v>
      </c>
      <c r="B90" s="17" t="s">
        <v>123</v>
      </c>
      <c r="C90" s="17" t="s">
        <v>315</v>
      </c>
      <c r="D90" s="17" t="s">
        <v>18</v>
      </c>
      <c r="E90" s="80" t="s">
        <v>1154</v>
      </c>
      <c r="F90" s="80" t="s">
        <v>1038</v>
      </c>
    </row>
    <row r="91" spans="1:6" ht="15.6" customHeight="1">
      <c r="A91" s="79">
        <v>89</v>
      </c>
      <c r="B91" s="17" t="s">
        <v>123</v>
      </c>
      <c r="C91" s="17" t="s">
        <v>126</v>
      </c>
      <c r="D91" s="17" t="s">
        <v>127</v>
      </c>
      <c r="E91" s="80"/>
      <c r="F91" s="80"/>
    </row>
    <row r="92" spans="1:6" ht="15.6" customHeight="1">
      <c r="A92" s="79">
        <v>90</v>
      </c>
      <c r="B92" s="17" t="s">
        <v>128</v>
      </c>
      <c r="C92" s="17" t="s">
        <v>197</v>
      </c>
      <c r="D92" s="17" t="s">
        <v>160</v>
      </c>
      <c r="E92" s="80" t="s">
        <v>1153</v>
      </c>
      <c r="F92" s="80"/>
    </row>
    <row r="93" spans="1:6" ht="15.6" customHeight="1">
      <c r="A93" s="79">
        <v>91</v>
      </c>
      <c r="B93" s="17" t="s">
        <v>132</v>
      </c>
      <c r="C93" s="17" t="s">
        <v>831</v>
      </c>
      <c r="D93" s="17" t="s">
        <v>832</v>
      </c>
      <c r="E93" s="80"/>
      <c r="F93" s="80"/>
    </row>
    <row r="94" spans="1:6" ht="15.6" customHeight="1">
      <c r="A94" s="79">
        <v>92</v>
      </c>
      <c r="B94" s="17" t="s">
        <v>132</v>
      </c>
      <c r="C94" s="17" t="s">
        <v>318</v>
      </c>
      <c r="D94" s="17" t="s">
        <v>319</v>
      </c>
      <c r="E94" s="80"/>
      <c r="F94" s="80"/>
    </row>
    <row r="95" spans="1:6" ht="15.6" customHeight="1">
      <c r="A95" s="79">
        <v>93</v>
      </c>
      <c r="B95" s="17" t="s">
        <v>133</v>
      </c>
      <c r="C95" s="17" t="s">
        <v>134</v>
      </c>
      <c r="D95" s="17" t="s">
        <v>135</v>
      </c>
      <c r="E95" s="80"/>
      <c r="F95" s="80"/>
    </row>
    <row r="96" spans="1:6" ht="15.6" customHeight="1">
      <c r="A96" s="79">
        <v>94</v>
      </c>
      <c r="B96" s="17" t="s">
        <v>133</v>
      </c>
      <c r="C96" s="17" t="s">
        <v>323</v>
      </c>
      <c r="D96" s="17" t="s">
        <v>33</v>
      </c>
      <c r="E96" s="80"/>
      <c r="F96" s="80"/>
    </row>
    <row r="97" spans="1:6" ht="15.6" customHeight="1">
      <c r="A97" s="79">
        <v>95</v>
      </c>
      <c r="B97" s="17" t="s">
        <v>133</v>
      </c>
      <c r="C97" s="17" t="s">
        <v>56</v>
      </c>
      <c r="D97" s="17" t="s">
        <v>324</v>
      </c>
      <c r="E97" s="80"/>
      <c r="F97" s="80"/>
    </row>
    <row r="98" spans="1:6" ht="15.6" customHeight="1">
      <c r="A98" s="79">
        <v>96</v>
      </c>
      <c r="B98" s="17" t="s">
        <v>133</v>
      </c>
      <c r="C98" s="17" t="s">
        <v>834</v>
      </c>
      <c r="D98" s="17" t="s">
        <v>262</v>
      </c>
      <c r="E98" s="80"/>
      <c r="F98" s="80" t="s">
        <v>1056</v>
      </c>
    </row>
    <row r="99" spans="1:6" ht="15.6" customHeight="1">
      <c r="A99" s="79">
        <v>97</v>
      </c>
      <c r="B99" s="17" t="s">
        <v>136</v>
      </c>
      <c r="C99" s="17" t="s">
        <v>325</v>
      </c>
      <c r="D99" s="17" t="s">
        <v>131</v>
      </c>
      <c r="E99" s="80"/>
      <c r="F99" s="80"/>
    </row>
    <row r="100" spans="1:6" ht="15.6" customHeight="1">
      <c r="A100" s="79">
        <v>98</v>
      </c>
      <c r="B100" s="17" t="s">
        <v>136</v>
      </c>
      <c r="C100" s="17" t="s">
        <v>232</v>
      </c>
      <c r="D100" s="17" t="s">
        <v>273</v>
      </c>
      <c r="E100" s="80" t="s">
        <v>1157</v>
      </c>
      <c r="F100" s="80"/>
    </row>
    <row r="101" spans="1:6" ht="15.6" customHeight="1">
      <c r="A101" s="79">
        <v>99</v>
      </c>
      <c r="B101" s="17" t="s">
        <v>136</v>
      </c>
      <c r="C101" s="17" t="s">
        <v>326</v>
      </c>
      <c r="D101" s="17" t="s">
        <v>327</v>
      </c>
      <c r="E101" s="80"/>
      <c r="F101" s="80"/>
    </row>
    <row r="102" spans="1:6" ht="15.6" customHeight="1">
      <c r="A102" s="79">
        <v>100</v>
      </c>
      <c r="B102" s="17" t="s">
        <v>140</v>
      </c>
      <c r="C102" s="17" t="s">
        <v>192</v>
      </c>
      <c r="D102" s="17" t="s">
        <v>16</v>
      </c>
      <c r="E102" s="80"/>
      <c r="F102" s="80"/>
    </row>
    <row r="103" spans="1:6" ht="15.6" customHeight="1">
      <c r="A103" s="79">
        <v>101</v>
      </c>
      <c r="B103" s="17" t="s">
        <v>143</v>
      </c>
      <c r="C103" s="17" t="s">
        <v>24</v>
      </c>
      <c r="D103" s="17" t="s">
        <v>229</v>
      </c>
      <c r="E103" s="80"/>
      <c r="F103" s="80"/>
    </row>
    <row r="104" spans="1:6" ht="15.6" customHeight="1">
      <c r="A104" s="79">
        <v>102</v>
      </c>
      <c r="B104" s="17" t="s">
        <v>143</v>
      </c>
      <c r="C104" s="17" t="s">
        <v>337</v>
      </c>
      <c r="D104" s="17" t="s">
        <v>72</v>
      </c>
      <c r="E104" s="80"/>
      <c r="F104" s="80" t="s">
        <v>1056</v>
      </c>
    </row>
    <row r="105" spans="1:6" ht="15.6" customHeight="1">
      <c r="A105" s="79">
        <v>103</v>
      </c>
      <c r="B105" s="17" t="s">
        <v>143</v>
      </c>
      <c r="C105" s="17" t="s">
        <v>338</v>
      </c>
      <c r="D105" s="17" t="s">
        <v>46</v>
      </c>
      <c r="E105" s="80" t="s">
        <v>1153</v>
      </c>
      <c r="F105" s="80"/>
    </row>
    <row r="106" spans="1:6" ht="15.6" customHeight="1">
      <c r="A106" s="79">
        <v>104</v>
      </c>
      <c r="B106" s="17" t="s">
        <v>143</v>
      </c>
      <c r="C106" s="17" t="s">
        <v>266</v>
      </c>
      <c r="D106" s="17" t="s">
        <v>40</v>
      </c>
      <c r="E106" s="80"/>
      <c r="F106" s="80"/>
    </row>
    <row r="107" spans="1:6" ht="15.6" customHeight="1">
      <c r="A107" s="79">
        <v>105</v>
      </c>
      <c r="B107" s="17" t="s">
        <v>144</v>
      </c>
      <c r="C107" s="17" t="s">
        <v>855</v>
      </c>
      <c r="D107" s="17" t="s">
        <v>856</v>
      </c>
      <c r="E107" s="80" t="s">
        <v>1159</v>
      </c>
      <c r="F107" s="80"/>
    </row>
    <row r="108" spans="1:6" ht="15.6" customHeight="1">
      <c r="A108" s="79">
        <v>106</v>
      </c>
      <c r="B108" s="17" t="s">
        <v>147</v>
      </c>
      <c r="C108" s="17" t="s">
        <v>145</v>
      </c>
      <c r="D108" s="17" t="s">
        <v>861</v>
      </c>
      <c r="E108" s="80"/>
      <c r="F108" s="80"/>
    </row>
    <row r="109" spans="1:6" ht="15.6" customHeight="1">
      <c r="A109" s="79">
        <v>107</v>
      </c>
      <c r="B109" s="17" t="s">
        <v>147</v>
      </c>
      <c r="C109" s="17" t="s">
        <v>863</v>
      </c>
      <c r="D109" s="17" t="s">
        <v>864</v>
      </c>
      <c r="E109" s="80"/>
      <c r="F109" s="80"/>
    </row>
    <row r="110" spans="1:6" ht="15.6" customHeight="1">
      <c r="A110" s="79">
        <v>108</v>
      </c>
      <c r="B110" s="17" t="s">
        <v>139</v>
      </c>
      <c r="C110" s="17" t="s">
        <v>249</v>
      </c>
      <c r="D110" s="17" t="s">
        <v>61</v>
      </c>
      <c r="E110" s="80" t="s">
        <v>1153</v>
      </c>
      <c r="F110" s="80"/>
    </row>
    <row r="111" spans="1:6" ht="15.6" customHeight="1">
      <c r="A111" s="79">
        <v>109</v>
      </c>
      <c r="B111" s="17" t="s">
        <v>139</v>
      </c>
      <c r="C111" s="17" t="s">
        <v>346</v>
      </c>
      <c r="D111" s="17" t="s">
        <v>347</v>
      </c>
      <c r="E111" s="80"/>
      <c r="F111" s="80"/>
    </row>
    <row r="112" spans="1:6" ht="15.6" customHeight="1">
      <c r="A112" s="79">
        <v>110</v>
      </c>
      <c r="B112" s="17" t="s">
        <v>152</v>
      </c>
      <c r="C112" s="17" t="s">
        <v>203</v>
      </c>
      <c r="D112" s="17" t="s">
        <v>204</v>
      </c>
      <c r="E112" s="80" t="s">
        <v>1156</v>
      </c>
      <c r="F112" s="80"/>
    </row>
    <row r="113" spans="1:6" ht="15.6" customHeight="1">
      <c r="A113" s="79">
        <v>111</v>
      </c>
      <c r="B113" s="17" t="s">
        <v>152</v>
      </c>
      <c r="C113" s="17" t="s">
        <v>109</v>
      </c>
      <c r="D113" s="17" t="s">
        <v>110</v>
      </c>
      <c r="E113" s="80" t="s">
        <v>1154</v>
      </c>
      <c r="F113" s="80" t="s">
        <v>1038</v>
      </c>
    </row>
    <row r="114" spans="1:6" ht="15.6" customHeight="1">
      <c r="A114" s="79">
        <v>112</v>
      </c>
      <c r="B114" s="17" t="s">
        <v>153</v>
      </c>
      <c r="C114" s="17" t="s">
        <v>881</v>
      </c>
      <c r="D114" s="17" t="s">
        <v>882</v>
      </c>
      <c r="E114" s="80"/>
      <c r="F114" s="80"/>
    </row>
    <row r="115" spans="1:6" ht="15.6" customHeight="1">
      <c r="A115" s="79">
        <v>113</v>
      </c>
      <c r="B115" s="17" t="s">
        <v>153</v>
      </c>
      <c r="C115" s="17" t="s">
        <v>230</v>
      </c>
      <c r="D115" s="17" t="s">
        <v>79</v>
      </c>
      <c r="E115" s="80" t="s">
        <v>1154</v>
      </c>
      <c r="F115" s="80" t="s">
        <v>1038</v>
      </c>
    </row>
    <row r="116" spans="1:6" ht="15.6" customHeight="1">
      <c r="A116" s="79">
        <v>114</v>
      </c>
      <c r="B116" s="17" t="s">
        <v>154</v>
      </c>
      <c r="C116" s="17" t="s">
        <v>351</v>
      </c>
      <c r="D116" s="17" t="s">
        <v>16</v>
      </c>
      <c r="E116" s="80"/>
      <c r="F116" s="80"/>
    </row>
    <row r="117" spans="1:6" ht="15.6" customHeight="1">
      <c r="A117" s="79">
        <v>115</v>
      </c>
      <c r="B117" s="17" t="s">
        <v>154</v>
      </c>
      <c r="C117" s="17" t="s">
        <v>352</v>
      </c>
      <c r="D117" s="17" t="s">
        <v>353</v>
      </c>
      <c r="E117" s="80" t="s">
        <v>1154</v>
      </c>
      <c r="F117" s="80" t="s">
        <v>1038</v>
      </c>
    </row>
    <row r="118" spans="1:6" ht="15.6" customHeight="1">
      <c r="A118" s="79">
        <v>116</v>
      </c>
      <c r="B118" s="17" t="s">
        <v>154</v>
      </c>
      <c r="C118" s="17" t="s">
        <v>56</v>
      </c>
      <c r="D118" s="17" t="s">
        <v>884</v>
      </c>
      <c r="E118" s="80"/>
      <c r="F118" s="80"/>
    </row>
    <row r="119" spans="1:6" ht="15.6" customHeight="1">
      <c r="A119" s="79">
        <v>117</v>
      </c>
      <c r="B119" s="17" t="s">
        <v>156</v>
      </c>
      <c r="C119" s="17" t="s">
        <v>886</v>
      </c>
      <c r="D119" s="17" t="s">
        <v>76</v>
      </c>
      <c r="E119" s="80"/>
      <c r="F119" s="80"/>
    </row>
    <row r="120" spans="1:6" ht="15.6" customHeight="1">
      <c r="A120" s="79">
        <v>118</v>
      </c>
      <c r="B120" s="17" t="s">
        <v>158</v>
      </c>
      <c r="C120" s="17" t="s">
        <v>56</v>
      </c>
      <c r="D120" s="17" t="s">
        <v>190</v>
      </c>
      <c r="E120" s="80" t="s">
        <v>1157</v>
      </c>
      <c r="F120" s="80"/>
    </row>
    <row r="121" spans="1:6" ht="15.6" customHeight="1">
      <c r="A121" s="79">
        <v>119</v>
      </c>
      <c r="B121" s="17" t="s">
        <v>159</v>
      </c>
      <c r="C121" s="17" t="s">
        <v>363</v>
      </c>
      <c r="D121" s="17" t="s">
        <v>364</v>
      </c>
      <c r="E121" s="80"/>
      <c r="F121" s="80"/>
    </row>
    <row r="122" spans="1:6" ht="15.6" customHeight="1">
      <c r="A122" s="79">
        <v>120</v>
      </c>
      <c r="B122" s="17" t="s">
        <v>159</v>
      </c>
      <c r="C122" s="17" t="s">
        <v>161</v>
      </c>
      <c r="D122" s="17" t="s">
        <v>233</v>
      </c>
      <c r="E122" s="80" t="s">
        <v>1157</v>
      </c>
      <c r="F122" s="80"/>
    </row>
    <row r="123" spans="1:6" ht="15.6" customHeight="1">
      <c r="A123" s="79">
        <v>121</v>
      </c>
      <c r="B123" s="17" t="s">
        <v>159</v>
      </c>
      <c r="C123" s="17" t="s">
        <v>234</v>
      </c>
      <c r="D123" s="17" t="s">
        <v>20</v>
      </c>
      <c r="E123" s="80" t="s">
        <v>1159</v>
      </c>
      <c r="F123" s="80"/>
    </row>
    <row r="124" spans="1:6" ht="15.6" customHeight="1">
      <c r="A124" s="79">
        <v>122</v>
      </c>
      <c r="B124" s="17" t="s">
        <v>159</v>
      </c>
      <c r="C124" s="17" t="s">
        <v>126</v>
      </c>
      <c r="D124" s="17" t="s">
        <v>199</v>
      </c>
      <c r="E124" s="80"/>
      <c r="F124" s="80" t="s">
        <v>1056</v>
      </c>
    </row>
    <row r="125" spans="1:6" ht="15.6" customHeight="1">
      <c r="A125" s="79">
        <v>123</v>
      </c>
      <c r="B125" s="17" t="s">
        <v>898</v>
      </c>
      <c r="C125" s="17" t="s">
        <v>899</v>
      </c>
      <c r="D125" s="17" t="s">
        <v>900</v>
      </c>
      <c r="E125" s="80"/>
      <c r="F125" s="80"/>
    </row>
    <row r="126" spans="1:6" ht="15.6" customHeight="1">
      <c r="A126" s="79">
        <v>124</v>
      </c>
      <c r="B126" s="17" t="s">
        <v>162</v>
      </c>
      <c r="C126" s="17" t="s">
        <v>216</v>
      </c>
      <c r="D126" s="17" t="s">
        <v>100</v>
      </c>
      <c r="E126" s="80" t="s">
        <v>1165</v>
      </c>
      <c r="F126" s="80"/>
    </row>
    <row r="127" spans="1:6" ht="15.6" customHeight="1">
      <c r="A127" s="79">
        <v>125</v>
      </c>
      <c r="B127" s="17" t="s">
        <v>163</v>
      </c>
      <c r="C127" s="17" t="s">
        <v>366</v>
      </c>
      <c r="D127" s="17" t="s">
        <v>55</v>
      </c>
      <c r="E127" s="80" t="s">
        <v>1163</v>
      </c>
      <c r="F127" s="80"/>
    </row>
    <row r="128" spans="1:6" ht="15.6" customHeight="1">
      <c r="A128" s="79">
        <v>126</v>
      </c>
      <c r="B128" s="17" t="s">
        <v>163</v>
      </c>
      <c r="C128" s="17" t="s">
        <v>305</v>
      </c>
      <c r="D128" s="17" t="s">
        <v>906</v>
      </c>
      <c r="E128" s="80" t="s">
        <v>1161</v>
      </c>
      <c r="F128" s="80"/>
    </row>
    <row r="129" spans="1:6" ht="15.6" customHeight="1">
      <c r="A129" s="79">
        <v>127</v>
      </c>
      <c r="B129" s="17" t="s">
        <v>164</v>
      </c>
      <c r="C129" s="17" t="s">
        <v>367</v>
      </c>
      <c r="D129" s="17" t="s">
        <v>368</v>
      </c>
      <c r="E129" s="80" t="s">
        <v>1157</v>
      </c>
      <c r="F129" s="80"/>
    </row>
    <row r="130" spans="1:6" ht="15.6" customHeight="1">
      <c r="A130" s="79">
        <v>128</v>
      </c>
      <c r="B130" s="17" t="s">
        <v>164</v>
      </c>
      <c r="C130" s="17" t="s">
        <v>370</v>
      </c>
      <c r="D130" s="17" t="s">
        <v>194</v>
      </c>
      <c r="E130" s="80"/>
      <c r="F130" s="80"/>
    </row>
    <row r="131" spans="1:6" ht="15.6" customHeight="1">
      <c r="A131" s="79">
        <v>129</v>
      </c>
      <c r="B131" s="17" t="s">
        <v>165</v>
      </c>
      <c r="C131" s="17" t="s">
        <v>235</v>
      </c>
      <c r="D131" s="17" t="s">
        <v>18</v>
      </c>
      <c r="E131" s="80" t="s">
        <v>1157</v>
      </c>
      <c r="F131" s="80" t="s">
        <v>1158</v>
      </c>
    </row>
    <row r="132" spans="1:6" ht="15.6" customHeight="1">
      <c r="A132" s="79">
        <v>130</v>
      </c>
      <c r="B132" s="17" t="s">
        <v>167</v>
      </c>
      <c r="C132" s="17" t="s">
        <v>912</v>
      </c>
      <c r="D132" s="17" t="s">
        <v>913</v>
      </c>
      <c r="E132" s="80"/>
      <c r="F132" s="80"/>
    </row>
    <row r="133" spans="1:6" ht="15.6" customHeight="1">
      <c r="A133" s="79">
        <v>131</v>
      </c>
      <c r="B133" s="17" t="s">
        <v>167</v>
      </c>
      <c r="C133" s="17" t="s">
        <v>915</v>
      </c>
      <c r="D133" s="17" t="s">
        <v>916</v>
      </c>
      <c r="E133" s="80"/>
      <c r="F133" s="80" t="s">
        <v>1056</v>
      </c>
    </row>
    <row r="134" spans="1:6" ht="15.6" customHeight="1">
      <c r="A134" s="79">
        <v>132</v>
      </c>
      <c r="B134" s="17" t="s">
        <v>167</v>
      </c>
      <c r="C134" s="17" t="s">
        <v>918</v>
      </c>
      <c r="D134" s="17" t="s">
        <v>919</v>
      </c>
      <c r="E134" s="80"/>
      <c r="F134" s="80"/>
    </row>
    <row r="135" spans="1:6" ht="15.6" customHeight="1">
      <c r="A135" s="79">
        <v>133</v>
      </c>
      <c r="B135" s="17" t="s">
        <v>169</v>
      </c>
      <c r="C135" s="17" t="s">
        <v>236</v>
      </c>
      <c r="D135" s="17" t="s">
        <v>55</v>
      </c>
      <c r="E135" s="80" t="s">
        <v>1163</v>
      </c>
      <c r="F135" s="80"/>
    </row>
    <row r="136" spans="1:6" ht="15.6" customHeight="1">
      <c r="A136" s="79">
        <v>134</v>
      </c>
      <c r="B136" s="17" t="s">
        <v>169</v>
      </c>
      <c r="C136" s="17" t="s">
        <v>170</v>
      </c>
      <c r="D136" s="17" t="s">
        <v>171</v>
      </c>
      <c r="E136" s="80" t="s">
        <v>1157</v>
      </c>
      <c r="F136" s="80"/>
    </row>
    <row r="137" spans="1:6" ht="15.6" customHeight="1">
      <c r="A137" s="79">
        <v>135</v>
      </c>
      <c r="B137" s="17" t="s">
        <v>172</v>
      </c>
      <c r="C137" s="17" t="s">
        <v>928</v>
      </c>
      <c r="D137" s="17" t="s">
        <v>929</v>
      </c>
      <c r="E137" s="80"/>
      <c r="F137" s="80"/>
    </row>
  </sheetData>
  <autoFilter ref="A2:G137"/>
  <mergeCells count="1">
    <mergeCell ref="A1:F1"/>
  </mergeCells>
  <pageMargins left="0.39370078740157483" right="0.15748031496062992" top="0.23622047244094491" bottom="0.27559055118110237" header="0.15748031496062992" footer="0.15748031496062992"/>
  <pageSetup paperSize="9" scale="94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I290"/>
  <sheetViews>
    <sheetView topLeftCell="A61" zoomScaleNormal="100" zoomScaleSheetLayoutView="100" workbookViewId="0">
      <selection activeCell="G66" sqref="G66:H66"/>
    </sheetView>
  </sheetViews>
  <sheetFormatPr defaultRowHeight="18" customHeight="1"/>
  <cols>
    <col min="1" max="1" width="6.5703125" style="55" customWidth="1"/>
    <col min="2" max="4" width="16.7109375" style="56" customWidth="1"/>
    <col min="5" max="5" width="13.7109375" style="56" customWidth="1"/>
    <col min="6" max="6" width="7" style="56" customWidth="1"/>
    <col min="7" max="8" width="28" style="56" customWidth="1"/>
    <col min="9" max="9" width="22.28515625" style="56" customWidth="1"/>
    <col min="10" max="16384" width="9.140625" style="51"/>
  </cols>
  <sheetData>
    <row r="1" spans="1:9" ht="18" customHeight="1">
      <c r="A1" s="50" t="s">
        <v>1137</v>
      </c>
      <c r="B1" s="50" t="s">
        <v>0</v>
      </c>
      <c r="C1" s="50" t="s">
        <v>1</v>
      </c>
      <c r="D1" s="50" t="s">
        <v>934</v>
      </c>
      <c r="E1" s="50" t="s">
        <v>1138</v>
      </c>
      <c r="F1" s="50" t="s">
        <v>1038</v>
      </c>
      <c r="G1" s="50" t="s">
        <v>1139</v>
      </c>
      <c r="H1" s="50" t="s">
        <v>1140</v>
      </c>
      <c r="I1" s="50" t="s">
        <v>1141</v>
      </c>
    </row>
    <row r="2" spans="1:9" s="54" customFormat="1" ht="18" customHeight="1">
      <c r="A2" s="52">
        <v>1</v>
      </c>
      <c r="B2" s="53" t="s">
        <v>11</v>
      </c>
      <c r="C2" s="53" t="s">
        <v>242</v>
      </c>
      <c r="D2" s="53" t="s">
        <v>243</v>
      </c>
      <c r="E2" s="53" t="s">
        <v>1036</v>
      </c>
      <c r="F2" s="53"/>
      <c r="G2" s="53" t="s">
        <v>582</v>
      </c>
      <c r="H2" s="53"/>
      <c r="I2" s="53"/>
    </row>
    <row r="3" spans="1:9" s="54" customFormat="1" ht="18" customHeight="1">
      <c r="A3" s="52">
        <v>2</v>
      </c>
      <c r="B3" s="53" t="s">
        <v>11</v>
      </c>
      <c r="C3" s="53" t="s">
        <v>616</v>
      </c>
      <c r="D3" s="53" t="s">
        <v>131</v>
      </c>
      <c r="E3" s="53"/>
      <c r="F3" s="53"/>
      <c r="G3" s="53"/>
      <c r="H3" s="53" t="s">
        <v>10</v>
      </c>
      <c r="I3" s="53"/>
    </row>
    <row r="4" spans="1:9" s="54" customFormat="1" ht="18" customHeight="1">
      <c r="A4" s="52">
        <v>3</v>
      </c>
      <c r="B4" s="53" t="s">
        <v>11</v>
      </c>
      <c r="C4" s="53" t="s">
        <v>173</v>
      </c>
      <c r="D4" s="53" t="s">
        <v>174</v>
      </c>
      <c r="E4" s="53"/>
      <c r="F4" s="53"/>
      <c r="G4" s="53"/>
      <c r="H4" s="53"/>
      <c r="I4" s="53"/>
    </row>
    <row r="5" spans="1:9" s="54" customFormat="1" ht="18" customHeight="1">
      <c r="A5" s="52">
        <v>4</v>
      </c>
      <c r="B5" s="53" t="s">
        <v>11</v>
      </c>
      <c r="C5" s="53" t="s">
        <v>250</v>
      </c>
      <c r="D5" s="53" t="s">
        <v>251</v>
      </c>
      <c r="E5" s="53" t="s">
        <v>1037</v>
      </c>
      <c r="F5" s="53" t="s">
        <v>1038</v>
      </c>
      <c r="G5" s="53"/>
      <c r="H5" s="53"/>
      <c r="I5" s="53"/>
    </row>
    <row r="6" spans="1:9" s="54" customFormat="1" ht="18" customHeight="1">
      <c r="A6" s="52">
        <v>5</v>
      </c>
      <c r="B6" s="53" t="s">
        <v>11</v>
      </c>
      <c r="C6" s="53" t="s">
        <v>619</v>
      </c>
      <c r="D6" s="53" t="s">
        <v>16</v>
      </c>
      <c r="E6" s="53"/>
      <c r="F6" s="53"/>
      <c r="G6" s="53" t="s">
        <v>237</v>
      </c>
      <c r="H6" s="53" t="s">
        <v>1039</v>
      </c>
      <c r="I6" s="53"/>
    </row>
    <row r="7" spans="1:9" s="54" customFormat="1" ht="18" customHeight="1">
      <c r="A7" s="52">
        <v>6</v>
      </c>
      <c r="B7" s="53" t="s">
        <v>14</v>
      </c>
      <c r="C7" s="53" t="s">
        <v>15</v>
      </c>
      <c r="D7" s="53" t="s">
        <v>16</v>
      </c>
      <c r="E7" s="53"/>
      <c r="F7" s="53" t="s">
        <v>1040</v>
      </c>
      <c r="G7" s="53"/>
      <c r="H7" s="53"/>
      <c r="I7" s="53"/>
    </row>
    <row r="8" spans="1:9" s="54" customFormat="1" ht="18" customHeight="1">
      <c r="A8" s="52">
        <v>7</v>
      </c>
      <c r="B8" s="53" t="s">
        <v>14</v>
      </c>
      <c r="C8" s="53" t="s">
        <v>240</v>
      </c>
      <c r="D8" s="53" t="s">
        <v>199</v>
      </c>
      <c r="E8" s="53" t="s">
        <v>1036</v>
      </c>
      <c r="F8" s="53"/>
      <c r="G8" s="53" t="s">
        <v>1041</v>
      </c>
      <c r="H8" s="53"/>
      <c r="I8" s="53"/>
    </row>
    <row r="9" spans="1:9" s="54" customFormat="1" ht="18" customHeight="1">
      <c r="A9" s="52">
        <v>8</v>
      </c>
      <c r="B9" s="53" t="s">
        <v>14</v>
      </c>
      <c r="C9" s="53" t="s">
        <v>621</v>
      </c>
      <c r="D9" s="53" t="s">
        <v>622</v>
      </c>
      <c r="E9" s="53"/>
      <c r="F9" s="53"/>
      <c r="G9" s="53"/>
      <c r="H9" s="53"/>
      <c r="I9" s="53"/>
    </row>
    <row r="10" spans="1:9" s="54" customFormat="1" ht="18" customHeight="1">
      <c r="A10" s="52">
        <v>9</v>
      </c>
      <c r="B10" s="53" t="s">
        <v>14</v>
      </c>
      <c r="C10" s="53" t="s">
        <v>624</v>
      </c>
      <c r="D10" s="53" t="s">
        <v>625</v>
      </c>
      <c r="E10" s="53"/>
      <c r="F10" s="53"/>
      <c r="G10" s="53"/>
      <c r="H10" s="53" t="s">
        <v>538</v>
      </c>
      <c r="I10" s="53"/>
    </row>
    <row r="11" spans="1:9" s="54" customFormat="1" ht="18" customHeight="1">
      <c r="A11" s="52">
        <v>10</v>
      </c>
      <c r="B11" s="53" t="s">
        <v>19</v>
      </c>
      <c r="C11" s="53" t="s">
        <v>21</v>
      </c>
      <c r="D11" s="53" t="s">
        <v>22</v>
      </c>
      <c r="E11" s="53"/>
      <c r="F11" s="53"/>
      <c r="G11" s="53"/>
      <c r="H11" s="53"/>
      <c r="I11" s="53"/>
    </row>
    <row r="12" spans="1:9" s="54" customFormat="1" ht="18" customHeight="1">
      <c r="A12" s="52">
        <v>11</v>
      </c>
      <c r="B12" s="53" t="s">
        <v>19</v>
      </c>
      <c r="C12" s="53" t="s">
        <v>244</v>
      </c>
      <c r="D12" s="53" t="s">
        <v>13</v>
      </c>
      <c r="E12" s="53"/>
      <c r="F12" s="53" t="s">
        <v>1040</v>
      </c>
      <c r="G12" s="53"/>
      <c r="H12" s="53"/>
      <c r="I12" s="53"/>
    </row>
    <row r="13" spans="1:9" s="54" customFormat="1" ht="18" customHeight="1">
      <c r="A13" s="52">
        <v>12</v>
      </c>
      <c r="B13" s="53" t="s">
        <v>19</v>
      </c>
      <c r="C13" s="53" t="s">
        <v>627</v>
      </c>
      <c r="D13" s="53" t="s">
        <v>90</v>
      </c>
      <c r="E13" s="53"/>
      <c r="F13" s="53"/>
      <c r="G13" s="53" t="s">
        <v>556</v>
      </c>
      <c r="H13" s="53" t="s">
        <v>1042</v>
      </c>
      <c r="I13" s="53"/>
    </row>
    <row r="14" spans="1:9" s="54" customFormat="1" ht="18" customHeight="1">
      <c r="A14" s="52">
        <v>13</v>
      </c>
      <c r="B14" s="53" t="s">
        <v>23</v>
      </c>
      <c r="C14" s="53" t="s">
        <v>629</v>
      </c>
      <c r="D14" s="53" t="s">
        <v>175</v>
      </c>
      <c r="E14" s="53"/>
      <c r="F14" s="53"/>
      <c r="G14" s="53" t="s">
        <v>1043</v>
      </c>
      <c r="H14" s="53" t="s">
        <v>1044</v>
      </c>
      <c r="I14" s="53"/>
    </row>
    <row r="15" spans="1:9" s="54" customFormat="1" ht="18" customHeight="1">
      <c r="A15" s="52">
        <v>14</v>
      </c>
      <c r="B15" s="53" t="s">
        <v>26</v>
      </c>
      <c r="C15" s="53" t="s">
        <v>245</v>
      </c>
      <c r="D15" s="53" t="s">
        <v>193</v>
      </c>
      <c r="E15" s="53"/>
      <c r="F15" s="53"/>
      <c r="G15" s="53" t="s">
        <v>1045</v>
      </c>
      <c r="H15" s="53"/>
      <c r="I15" s="53"/>
    </row>
    <row r="16" spans="1:9" s="54" customFormat="1" ht="18" customHeight="1">
      <c r="A16" s="52">
        <v>15</v>
      </c>
      <c r="B16" s="53" t="s">
        <v>26</v>
      </c>
      <c r="C16" s="53" t="s">
        <v>28</v>
      </c>
      <c r="D16" s="53" t="s">
        <v>29</v>
      </c>
      <c r="E16" s="53"/>
      <c r="F16" s="53"/>
      <c r="G16" s="53"/>
      <c r="H16" s="53"/>
      <c r="I16" s="53"/>
    </row>
    <row r="17" spans="1:9" s="54" customFormat="1" ht="18" customHeight="1">
      <c r="A17" s="52">
        <v>16</v>
      </c>
      <c r="B17" s="53" t="s">
        <v>30</v>
      </c>
      <c r="C17" s="53" t="s">
        <v>631</v>
      </c>
      <c r="D17" s="53" t="s">
        <v>120</v>
      </c>
      <c r="E17" s="53" t="s">
        <v>1036</v>
      </c>
      <c r="F17" s="53"/>
      <c r="G17" s="53"/>
      <c r="H17" s="53" t="s">
        <v>1046</v>
      </c>
      <c r="I17" s="53"/>
    </row>
    <row r="18" spans="1:9" s="54" customFormat="1" ht="18" customHeight="1">
      <c r="A18" s="52">
        <v>17</v>
      </c>
      <c r="B18" s="53" t="s">
        <v>30</v>
      </c>
      <c r="C18" s="53" t="s">
        <v>633</v>
      </c>
      <c r="D18" s="53" t="s">
        <v>634</v>
      </c>
      <c r="E18" s="53"/>
      <c r="F18" s="53"/>
      <c r="G18" s="53"/>
      <c r="H18" s="53" t="s">
        <v>1047</v>
      </c>
      <c r="I18" s="53"/>
    </row>
    <row r="19" spans="1:9" s="54" customFormat="1" ht="18" customHeight="1">
      <c r="A19" s="52">
        <v>18</v>
      </c>
      <c r="B19" s="53" t="s">
        <v>31</v>
      </c>
      <c r="C19" s="53" t="s">
        <v>178</v>
      </c>
      <c r="D19" s="53" t="s">
        <v>179</v>
      </c>
      <c r="E19" s="53"/>
      <c r="F19" s="53" t="s">
        <v>1048</v>
      </c>
      <c r="G19" s="53"/>
      <c r="H19" s="53"/>
      <c r="I19" s="53"/>
    </row>
    <row r="20" spans="1:9" s="54" customFormat="1" ht="18" customHeight="1">
      <c r="A20" s="52">
        <v>19</v>
      </c>
      <c r="B20" s="53" t="s">
        <v>31</v>
      </c>
      <c r="C20" s="53" t="s">
        <v>75</v>
      </c>
      <c r="D20" s="53" t="s">
        <v>79</v>
      </c>
      <c r="E20" s="53"/>
      <c r="F20" s="53"/>
      <c r="G20" s="53"/>
      <c r="H20" s="53"/>
      <c r="I20" s="53"/>
    </row>
    <row r="21" spans="1:9" s="54" customFormat="1" ht="18" customHeight="1">
      <c r="A21" s="52">
        <v>20</v>
      </c>
      <c r="B21" s="53" t="s">
        <v>31</v>
      </c>
      <c r="C21" s="53" t="s">
        <v>15</v>
      </c>
      <c r="D21" s="53" t="s">
        <v>637</v>
      </c>
      <c r="E21" s="53"/>
      <c r="F21" s="53"/>
      <c r="G21" s="53"/>
      <c r="H21" s="53"/>
      <c r="I21" s="53"/>
    </row>
    <row r="22" spans="1:9" s="54" customFormat="1" ht="18" customHeight="1">
      <c r="A22" s="52">
        <v>21</v>
      </c>
      <c r="B22" s="53" t="s">
        <v>31</v>
      </c>
      <c r="C22" s="53" t="s">
        <v>176</v>
      </c>
      <c r="D22" s="53" t="s">
        <v>177</v>
      </c>
      <c r="E22" s="53" t="s">
        <v>1049</v>
      </c>
      <c r="F22" s="53"/>
      <c r="G22" s="53" t="s">
        <v>1050</v>
      </c>
      <c r="H22" s="53" t="s">
        <v>1051</v>
      </c>
      <c r="I22" s="53"/>
    </row>
    <row r="23" spans="1:9" s="54" customFormat="1" ht="18" customHeight="1">
      <c r="A23" s="52">
        <v>22</v>
      </c>
      <c r="B23" s="53" t="s">
        <v>31</v>
      </c>
      <c r="C23" s="53" t="s">
        <v>246</v>
      </c>
      <c r="D23" s="53" t="s">
        <v>113</v>
      </c>
      <c r="E23" s="53"/>
      <c r="F23" s="53"/>
      <c r="G23" s="53"/>
      <c r="H23" s="53"/>
      <c r="I23" s="53"/>
    </row>
    <row r="24" spans="1:9" s="54" customFormat="1" ht="18" customHeight="1">
      <c r="A24" s="52">
        <v>23</v>
      </c>
      <c r="B24" s="53" t="s">
        <v>31</v>
      </c>
      <c r="C24" s="53" t="s">
        <v>247</v>
      </c>
      <c r="D24" s="53" t="s">
        <v>248</v>
      </c>
      <c r="E24" s="53" t="s">
        <v>1037</v>
      </c>
      <c r="F24" s="53" t="s">
        <v>1038</v>
      </c>
      <c r="G24" s="53"/>
      <c r="H24" s="53"/>
      <c r="I24" s="53"/>
    </row>
    <row r="25" spans="1:9" s="54" customFormat="1" ht="18" customHeight="1">
      <c r="A25" s="52">
        <v>24</v>
      </c>
      <c r="B25" s="53" t="s">
        <v>31</v>
      </c>
      <c r="C25" s="53" t="s">
        <v>17</v>
      </c>
      <c r="D25" s="53" t="s">
        <v>639</v>
      </c>
      <c r="E25" s="53" t="s">
        <v>1052</v>
      </c>
      <c r="F25" s="53"/>
      <c r="G25" s="53" t="s">
        <v>549</v>
      </c>
      <c r="H25" s="53"/>
      <c r="I25" s="53"/>
    </row>
    <row r="26" spans="1:9" s="54" customFormat="1" ht="18" customHeight="1">
      <c r="A26" s="52">
        <v>25</v>
      </c>
      <c r="B26" s="53" t="s">
        <v>31</v>
      </c>
      <c r="C26" s="53" t="s">
        <v>180</v>
      </c>
      <c r="D26" s="53" t="s">
        <v>181</v>
      </c>
      <c r="E26" s="53" t="s">
        <v>1053</v>
      </c>
      <c r="F26" s="53"/>
      <c r="G26" s="53" t="s">
        <v>615</v>
      </c>
      <c r="H26" s="53"/>
      <c r="I26" s="53"/>
    </row>
    <row r="27" spans="1:9" s="54" customFormat="1" ht="18" customHeight="1">
      <c r="A27" s="52">
        <v>26</v>
      </c>
      <c r="B27" s="53" t="s">
        <v>31</v>
      </c>
      <c r="C27" s="53" t="s">
        <v>641</v>
      </c>
      <c r="D27" s="53" t="s">
        <v>642</v>
      </c>
      <c r="E27" s="53"/>
      <c r="F27" s="53"/>
      <c r="G27" s="53" t="s">
        <v>4</v>
      </c>
      <c r="H27" s="53"/>
      <c r="I27" s="53"/>
    </row>
    <row r="28" spans="1:9" s="54" customFormat="1" ht="18" customHeight="1">
      <c r="A28" s="52">
        <v>27</v>
      </c>
      <c r="B28" s="53" t="s">
        <v>31</v>
      </c>
      <c r="C28" s="53" t="s">
        <v>39</v>
      </c>
      <c r="D28" s="53" t="s">
        <v>60</v>
      </c>
      <c r="E28" s="53" t="s">
        <v>1037</v>
      </c>
      <c r="F28" s="53" t="s">
        <v>1038</v>
      </c>
      <c r="G28" s="53"/>
      <c r="H28" s="53"/>
      <c r="I28" s="53"/>
    </row>
    <row r="29" spans="1:9" s="54" customFormat="1" ht="18" customHeight="1">
      <c r="A29" s="52">
        <v>28</v>
      </c>
      <c r="B29" s="53" t="s">
        <v>31</v>
      </c>
      <c r="C29" s="53" t="s">
        <v>217</v>
      </c>
      <c r="D29" s="53" t="s">
        <v>341</v>
      </c>
      <c r="E29" s="53"/>
      <c r="F29" s="53"/>
      <c r="G29" s="53"/>
      <c r="H29" s="53"/>
      <c r="I29" s="53"/>
    </row>
    <row r="30" spans="1:9" s="54" customFormat="1" ht="18" customHeight="1">
      <c r="A30" s="52">
        <v>29</v>
      </c>
      <c r="B30" s="53" t="s">
        <v>31</v>
      </c>
      <c r="C30" s="53" t="s">
        <v>218</v>
      </c>
      <c r="D30" s="53" t="s">
        <v>252</v>
      </c>
      <c r="E30" s="53"/>
      <c r="F30" s="53"/>
      <c r="G30" s="53"/>
      <c r="H30" s="53"/>
      <c r="I30" s="53"/>
    </row>
    <row r="31" spans="1:9" s="54" customFormat="1" ht="18" customHeight="1">
      <c r="A31" s="52">
        <v>30</v>
      </c>
      <c r="B31" s="53" t="s">
        <v>31</v>
      </c>
      <c r="C31" s="53" t="s">
        <v>645</v>
      </c>
      <c r="D31" s="53" t="s">
        <v>99</v>
      </c>
      <c r="E31" s="53"/>
      <c r="F31" s="53"/>
      <c r="G31" s="53"/>
      <c r="H31" s="53"/>
      <c r="I31" s="53"/>
    </row>
    <row r="32" spans="1:9" s="54" customFormat="1" ht="18" customHeight="1">
      <c r="A32" s="52">
        <v>31</v>
      </c>
      <c r="B32" s="53" t="s">
        <v>31</v>
      </c>
      <c r="C32" s="53" t="s">
        <v>126</v>
      </c>
      <c r="D32" s="53" t="s">
        <v>647</v>
      </c>
      <c r="E32" s="53"/>
      <c r="F32" s="53"/>
      <c r="G32" s="53" t="s">
        <v>1054</v>
      </c>
      <c r="H32" s="53" t="s">
        <v>1055</v>
      </c>
      <c r="I32" s="53"/>
    </row>
    <row r="33" spans="1:9" s="54" customFormat="1" ht="18" customHeight="1">
      <c r="A33" s="52">
        <v>32</v>
      </c>
      <c r="B33" s="53" t="s">
        <v>37</v>
      </c>
      <c r="C33" s="53" t="s">
        <v>15</v>
      </c>
      <c r="D33" s="53" t="s">
        <v>90</v>
      </c>
      <c r="E33" s="53"/>
      <c r="F33" s="53"/>
      <c r="G33" s="53" t="s">
        <v>569</v>
      </c>
      <c r="H33" s="53" t="s">
        <v>569</v>
      </c>
      <c r="I33" s="53"/>
    </row>
    <row r="34" spans="1:9" s="54" customFormat="1" ht="18" customHeight="1">
      <c r="A34" s="52">
        <v>33</v>
      </c>
      <c r="B34" s="53" t="s">
        <v>37</v>
      </c>
      <c r="C34" s="53" t="s">
        <v>12</v>
      </c>
      <c r="D34" s="53" t="s">
        <v>649</v>
      </c>
      <c r="E34" s="53"/>
      <c r="F34" s="53"/>
      <c r="G34" s="53" t="s">
        <v>559</v>
      </c>
      <c r="H34" s="53" t="s">
        <v>937</v>
      </c>
      <c r="I34" s="53"/>
    </row>
    <row r="35" spans="1:9" s="54" customFormat="1" ht="18" customHeight="1">
      <c r="A35" s="52">
        <v>34</v>
      </c>
      <c r="B35" s="53" t="s">
        <v>37</v>
      </c>
      <c r="C35" s="53" t="s">
        <v>12</v>
      </c>
      <c r="D35" s="53" t="s">
        <v>253</v>
      </c>
      <c r="E35" s="53"/>
      <c r="F35" s="53"/>
      <c r="G35" s="53"/>
      <c r="H35" s="53" t="s">
        <v>7</v>
      </c>
      <c r="I35" s="53"/>
    </row>
    <row r="36" spans="1:9" s="54" customFormat="1" ht="18" customHeight="1">
      <c r="A36" s="52">
        <v>35</v>
      </c>
      <c r="B36" s="53" t="s">
        <v>37</v>
      </c>
      <c r="C36" s="53" t="s">
        <v>254</v>
      </c>
      <c r="D36" s="53" t="s">
        <v>100</v>
      </c>
      <c r="E36" s="53"/>
      <c r="F36" s="53" t="s">
        <v>1056</v>
      </c>
      <c r="G36" s="53"/>
      <c r="H36" s="53"/>
      <c r="I36" s="53"/>
    </row>
    <row r="37" spans="1:9" s="54" customFormat="1" ht="18" customHeight="1">
      <c r="A37" s="52">
        <v>36</v>
      </c>
      <c r="B37" s="53" t="s">
        <v>37</v>
      </c>
      <c r="C37" s="53" t="s">
        <v>166</v>
      </c>
      <c r="D37" s="53" t="s">
        <v>255</v>
      </c>
      <c r="E37" s="53" t="s">
        <v>1052</v>
      </c>
      <c r="F37" s="53"/>
      <c r="G37" s="53"/>
      <c r="H37" s="53"/>
      <c r="I37" s="53"/>
    </row>
    <row r="38" spans="1:9" s="54" customFormat="1" ht="18" customHeight="1">
      <c r="A38" s="52">
        <v>37</v>
      </c>
      <c r="B38" s="53" t="s">
        <v>41</v>
      </c>
      <c r="C38" s="53" t="s">
        <v>32</v>
      </c>
      <c r="D38" s="53" t="s">
        <v>99</v>
      </c>
      <c r="E38" s="53" t="s">
        <v>1052</v>
      </c>
      <c r="F38" s="53"/>
      <c r="G38" s="53"/>
      <c r="H38" s="53"/>
      <c r="I38" s="53"/>
    </row>
    <row r="39" spans="1:9" s="54" customFormat="1" ht="18" customHeight="1">
      <c r="A39" s="52">
        <v>38</v>
      </c>
      <c r="B39" s="53" t="s">
        <v>42</v>
      </c>
      <c r="C39" s="53" t="s">
        <v>367</v>
      </c>
      <c r="D39" s="53" t="s">
        <v>651</v>
      </c>
      <c r="E39" s="53"/>
      <c r="F39" s="53"/>
      <c r="G39" s="53"/>
      <c r="H39" s="53" t="s">
        <v>567</v>
      </c>
      <c r="I39" s="53"/>
    </row>
    <row r="40" spans="1:9" s="54" customFormat="1" ht="18" customHeight="1">
      <c r="A40" s="52">
        <v>39</v>
      </c>
      <c r="B40" s="53" t="s">
        <v>15</v>
      </c>
      <c r="C40" s="53" t="s">
        <v>653</v>
      </c>
      <c r="D40" s="53" t="s">
        <v>654</v>
      </c>
      <c r="E40" s="53"/>
      <c r="F40" s="53"/>
      <c r="G40" s="53" t="s">
        <v>551</v>
      </c>
      <c r="H40" s="53" t="s">
        <v>1057</v>
      </c>
      <c r="I40" s="53"/>
    </row>
    <row r="41" spans="1:9" s="54" customFormat="1" ht="18" customHeight="1">
      <c r="A41" s="52">
        <v>40</v>
      </c>
      <c r="B41" s="53" t="s">
        <v>15</v>
      </c>
      <c r="C41" s="53" t="s">
        <v>656</v>
      </c>
      <c r="D41" s="53" t="s">
        <v>657</v>
      </c>
      <c r="E41" s="53"/>
      <c r="F41" s="53"/>
      <c r="G41" s="53" t="s">
        <v>947</v>
      </c>
      <c r="H41" s="53" t="s">
        <v>1058</v>
      </c>
      <c r="I41" s="53"/>
    </row>
    <row r="42" spans="1:9" s="54" customFormat="1" ht="18" customHeight="1">
      <c r="A42" s="52">
        <v>41</v>
      </c>
      <c r="B42" s="53" t="s">
        <v>15</v>
      </c>
      <c r="C42" s="53" t="s">
        <v>256</v>
      </c>
      <c r="D42" s="53" t="s">
        <v>100</v>
      </c>
      <c r="E42" s="53" t="s">
        <v>1053</v>
      </c>
      <c r="F42" s="53"/>
      <c r="G42" s="53" t="s">
        <v>535</v>
      </c>
      <c r="H42" s="53"/>
      <c r="I42" s="53"/>
    </row>
    <row r="43" spans="1:9" s="54" customFormat="1" ht="18" customHeight="1">
      <c r="A43" s="52">
        <v>42</v>
      </c>
      <c r="B43" s="53" t="s">
        <v>15</v>
      </c>
      <c r="C43" s="53" t="s">
        <v>230</v>
      </c>
      <c r="D43" s="53" t="s">
        <v>61</v>
      </c>
      <c r="E43" s="53"/>
      <c r="F43" s="53" t="s">
        <v>1056</v>
      </c>
      <c r="G43" s="53" t="s">
        <v>1059</v>
      </c>
      <c r="H43" s="53" t="s">
        <v>1060</v>
      </c>
      <c r="I43" s="53"/>
    </row>
    <row r="44" spans="1:9" s="54" customFormat="1" ht="18" customHeight="1">
      <c r="A44" s="52">
        <v>43</v>
      </c>
      <c r="B44" s="53" t="s">
        <v>44</v>
      </c>
      <c r="C44" s="53" t="s">
        <v>24</v>
      </c>
      <c r="D44" s="53" t="s">
        <v>660</v>
      </c>
      <c r="E44" s="53"/>
      <c r="F44" s="53"/>
      <c r="G44" s="53" t="s">
        <v>534</v>
      </c>
      <c r="H44" s="53" t="s">
        <v>528</v>
      </c>
      <c r="I44" s="53"/>
    </row>
    <row r="45" spans="1:9" s="54" customFormat="1" ht="18" customHeight="1">
      <c r="A45" s="52">
        <v>44</v>
      </c>
      <c r="B45" s="53" t="s">
        <v>44</v>
      </c>
      <c r="C45" s="53" t="s">
        <v>662</v>
      </c>
      <c r="D45" s="53" t="s">
        <v>100</v>
      </c>
      <c r="E45" s="53"/>
      <c r="F45" s="53"/>
      <c r="G45" s="53" t="s">
        <v>532</v>
      </c>
      <c r="H45" s="53" t="s">
        <v>532</v>
      </c>
      <c r="I45" s="53"/>
    </row>
    <row r="46" spans="1:9" s="54" customFormat="1" ht="18" customHeight="1">
      <c r="A46" s="52">
        <v>45</v>
      </c>
      <c r="B46" s="53" t="s">
        <v>44</v>
      </c>
      <c r="C46" s="53" t="s">
        <v>12</v>
      </c>
      <c r="D46" s="53" t="s">
        <v>664</v>
      </c>
      <c r="E46" s="53"/>
      <c r="F46" s="53"/>
      <c r="G46" s="53" t="s">
        <v>528</v>
      </c>
      <c r="H46" s="53" t="s">
        <v>1061</v>
      </c>
      <c r="I46" s="53"/>
    </row>
    <row r="47" spans="1:9" s="54" customFormat="1" ht="18" customHeight="1">
      <c r="A47" s="52">
        <v>46</v>
      </c>
      <c r="B47" s="53" t="s">
        <v>44</v>
      </c>
      <c r="C47" s="53" t="s">
        <v>666</v>
      </c>
      <c r="D47" s="53" t="s">
        <v>667</v>
      </c>
      <c r="E47" s="53"/>
      <c r="F47" s="53" t="s">
        <v>1056</v>
      </c>
      <c r="G47" s="53" t="s">
        <v>585</v>
      </c>
      <c r="H47" s="53" t="s">
        <v>1062</v>
      </c>
      <c r="I47" s="53"/>
    </row>
    <row r="48" spans="1:9" s="54" customFormat="1" ht="18" customHeight="1">
      <c r="A48" s="52">
        <v>47</v>
      </c>
      <c r="B48" s="53" t="s">
        <v>44</v>
      </c>
      <c r="C48" s="53" t="s">
        <v>669</v>
      </c>
      <c r="D48" s="53" t="s">
        <v>670</v>
      </c>
      <c r="E48" s="53"/>
      <c r="F48" s="53"/>
      <c r="G48" s="53" t="s">
        <v>572</v>
      </c>
      <c r="H48" s="53"/>
      <c r="I48" s="53"/>
    </row>
    <row r="49" spans="1:9" s="54" customFormat="1" ht="18" customHeight="1">
      <c r="A49" s="52">
        <v>48</v>
      </c>
      <c r="B49" s="53" t="s">
        <v>47</v>
      </c>
      <c r="C49" s="53" t="s">
        <v>48</v>
      </c>
      <c r="D49" s="53" t="s">
        <v>49</v>
      </c>
      <c r="E49" s="53" t="s">
        <v>1053</v>
      </c>
      <c r="F49" s="53"/>
      <c r="G49" s="53"/>
      <c r="H49" s="53"/>
      <c r="I49" s="53"/>
    </row>
    <row r="50" spans="1:9" s="54" customFormat="1" ht="18" customHeight="1">
      <c r="A50" s="52">
        <v>49</v>
      </c>
      <c r="B50" s="53" t="s">
        <v>50</v>
      </c>
      <c r="C50" s="53" t="s">
        <v>184</v>
      </c>
      <c r="D50" s="53" t="s">
        <v>672</v>
      </c>
      <c r="E50" s="53"/>
      <c r="F50" s="53"/>
      <c r="G50" s="53"/>
      <c r="H50" s="53" t="s">
        <v>1063</v>
      </c>
      <c r="I50" s="53"/>
    </row>
    <row r="51" spans="1:9" s="54" customFormat="1" ht="18" customHeight="1">
      <c r="A51" s="52">
        <v>50</v>
      </c>
      <c r="B51" s="53" t="s">
        <v>52</v>
      </c>
      <c r="C51" s="53" t="s">
        <v>674</v>
      </c>
      <c r="D51" s="53" t="s">
        <v>675</v>
      </c>
      <c r="E51" s="53"/>
      <c r="F51" s="53"/>
      <c r="G51" s="53"/>
      <c r="H51" s="53"/>
      <c r="I51" s="53"/>
    </row>
    <row r="52" spans="1:9" s="54" customFormat="1" ht="18" customHeight="1">
      <c r="A52" s="52">
        <v>51</v>
      </c>
      <c r="B52" s="53" t="s">
        <v>53</v>
      </c>
      <c r="C52" s="53" t="s">
        <v>677</v>
      </c>
      <c r="D52" s="53" t="s">
        <v>359</v>
      </c>
      <c r="E52" s="53"/>
      <c r="F52" s="53"/>
      <c r="G52" s="53" t="s">
        <v>558</v>
      </c>
      <c r="H52" s="53" t="s">
        <v>1064</v>
      </c>
      <c r="I52" s="53"/>
    </row>
    <row r="53" spans="1:9" s="54" customFormat="1" ht="18" customHeight="1">
      <c r="A53" s="52">
        <v>52</v>
      </c>
      <c r="B53" s="53" t="s">
        <v>54</v>
      </c>
      <c r="C53" s="53" t="s">
        <v>679</v>
      </c>
      <c r="D53" s="53" t="s">
        <v>680</v>
      </c>
      <c r="E53" s="53"/>
      <c r="F53" s="53"/>
      <c r="G53" s="53"/>
      <c r="H53" s="53"/>
      <c r="I53" s="53"/>
    </row>
    <row r="54" spans="1:9" s="54" customFormat="1" ht="18" customHeight="1">
      <c r="A54" s="52">
        <v>53</v>
      </c>
      <c r="B54" s="53" t="s">
        <v>54</v>
      </c>
      <c r="C54" s="53" t="s">
        <v>56</v>
      </c>
      <c r="D54" s="53" t="s">
        <v>57</v>
      </c>
      <c r="E54" s="53" t="s">
        <v>1037</v>
      </c>
      <c r="F54" s="53" t="s">
        <v>1038</v>
      </c>
      <c r="G54" s="53" t="s">
        <v>1050</v>
      </c>
      <c r="H54" s="53"/>
      <c r="I54" s="53"/>
    </row>
    <row r="55" spans="1:9" s="54" customFormat="1" ht="18" customHeight="1">
      <c r="A55" s="52">
        <v>54</v>
      </c>
      <c r="B55" s="53" t="s">
        <v>58</v>
      </c>
      <c r="C55" s="53" t="s">
        <v>682</v>
      </c>
      <c r="D55" s="53" t="s">
        <v>683</v>
      </c>
      <c r="E55" s="53"/>
      <c r="F55" s="53"/>
      <c r="G55" s="53"/>
      <c r="H55" s="53"/>
      <c r="I55" s="53"/>
    </row>
    <row r="56" spans="1:9" s="54" customFormat="1" ht="18" customHeight="1">
      <c r="A56" s="52">
        <v>55</v>
      </c>
      <c r="B56" s="53" t="s">
        <v>58</v>
      </c>
      <c r="C56" s="53" t="s">
        <v>685</v>
      </c>
      <c r="D56" s="53" t="s">
        <v>282</v>
      </c>
      <c r="E56" s="53"/>
      <c r="F56" s="53" t="s">
        <v>1065</v>
      </c>
      <c r="G56" s="53" t="s">
        <v>950</v>
      </c>
      <c r="H56" s="53" t="s">
        <v>1066</v>
      </c>
      <c r="I56" s="53"/>
    </row>
    <row r="57" spans="1:9" s="54" customFormat="1" ht="18" customHeight="1">
      <c r="A57" s="52">
        <v>56</v>
      </c>
      <c r="B57" s="53" t="s">
        <v>59</v>
      </c>
      <c r="C57" s="53" t="s">
        <v>15</v>
      </c>
      <c r="D57" s="53" t="s">
        <v>687</v>
      </c>
      <c r="E57" s="53"/>
      <c r="F57" s="53"/>
      <c r="G57" s="53" t="s">
        <v>1067</v>
      </c>
      <c r="H57" s="53"/>
      <c r="I57" s="53"/>
    </row>
    <row r="58" spans="1:9" s="54" customFormat="1" ht="18" customHeight="1">
      <c r="A58" s="52">
        <v>57</v>
      </c>
      <c r="B58" s="53" t="s">
        <v>59</v>
      </c>
      <c r="C58" s="53" t="s">
        <v>187</v>
      </c>
      <c r="D58" s="53" t="s">
        <v>188</v>
      </c>
      <c r="E58" s="53"/>
      <c r="F58" s="53"/>
      <c r="G58" s="53"/>
      <c r="H58" s="53" t="s">
        <v>1068</v>
      </c>
      <c r="I58" s="53"/>
    </row>
    <row r="59" spans="1:9" s="54" customFormat="1" ht="18" customHeight="1">
      <c r="A59" s="52">
        <v>58</v>
      </c>
      <c r="B59" s="53" t="s">
        <v>62</v>
      </c>
      <c r="C59" s="53" t="s">
        <v>63</v>
      </c>
      <c r="D59" s="53" t="s">
        <v>64</v>
      </c>
      <c r="E59" s="53" t="s">
        <v>1069</v>
      </c>
      <c r="F59" s="53"/>
      <c r="G59" s="53"/>
      <c r="H59" s="53"/>
      <c r="I59" s="53"/>
    </row>
    <row r="60" spans="1:9" s="54" customFormat="1" ht="18" customHeight="1">
      <c r="A60" s="52">
        <v>59</v>
      </c>
      <c r="B60" s="53" t="s">
        <v>62</v>
      </c>
      <c r="C60" s="53" t="s">
        <v>689</v>
      </c>
      <c r="D60" s="53" t="s">
        <v>356</v>
      </c>
      <c r="E60" s="53"/>
      <c r="F60" s="53"/>
      <c r="G60" s="53" t="s">
        <v>1060</v>
      </c>
      <c r="H60" s="53" t="s">
        <v>570</v>
      </c>
      <c r="I60" s="53"/>
    </row>
    <row r="61" spans="1:9" s="54" customFormat="1" ht="18" customHeight="1">
      <c r="A61" s="52">
        <v>60</v>
      </c>
      <c r="B61" s="53" t="s">
        <v>65</v>
      </c>
      <c r="C61" s="53" t="s">
        <v>257</v>
      </c>
      <c r="D61" s="53" t="s">
        <v>258</v>
      </c>
      <c r="E61" s="53" t="s">
        <v>1053</v>
      </c>
      <c r="F61" s="53" t="s">
        <v>1056</v>
      </c>
      <c r="G61" s="53"/>
      <c r="H61" s="53"/>
      <c r="I61" s="53"/>
    </row>
    <row r="62" spans="1:9" s="54" customFormat="1" ht="18" customHeight="1">
      <c r="A62" s="52">
        <v>61</v>
      </c>
      <c r="B62" s="53" t="s">
        <v>65</v>
      </c>
      <c r="C62" s="53" t="s">
        <v>15</v>
      </c>
      <c r="D62" s="53" t="s">
        <v>259</v>
      </c>
      <c r="E62" s="53"/>
      <c r="F62" s="53" t="s">
        <v>1065</v>
      </c>
      <c r="G62" s="53" t="s">
        <v>568</v>
      </c>
      <c r="H62" s="53" t="s">
        <v>1070</v>
      </c>
      <c r="I62" s="53"/>
    </row>
    <row r="63" spans="1:9" s="54" customFormat="1" ht="18" customHeight="1">
      <c r="A63" s="52">
        <v>62</v>
      </c>
      <c r="B63" s="53" t="s">
        <v>65</v>
      </c>
      <c r="C63" s="53" t="s">
        <v>38</v>
      </c>
      <c r="D63" s="53" t="s">
        <v>189</v>
      </c>
      <c r="E63" s="53" t="s">
        <v>1053</v>
      </c>
      <c r="F63" s="53"/>
      <c r="G63" s="53"/>
      <c r="H63" s="53"/>
      <c r="I63" s="53"/>
    </row>
    <row r="64" spans="1:9" s="54" customFormat="1" ht="18" customHeight="1">
      <c r="A64" s="52">
        <v>63</v>
      </c>
      <c r="B64" s="53" t="s">
        <v>65</v>
      </c>
      <c r="C64" s="53" t="s">
        <v>691</v>
      </c>
      <c r="D64" s="53" t="s">
        <v>100</v>
      </c>
      <c r="E64" s="53"/>
      <c r="F64" s="53"/>
      <c r="G64" s="53" t="s">
        <v>1071</v>
      </c>
      <c r="H64" s="53" t="s">
        <v>1072</v>
      </c>
      <c r="I64" s="53"/>
    </row>
    <row r="65" spans="1:9" s="54" customFormat="1" ht="18" customHeight="1">
      <c r="A65" s="52">
        <v>64</v>
      </c>
      <c r="B65" s="53" t="s">
        <v>65</v>
      </c>
      <c r="C65" s="53" t="s">
        <v>134</v>
      </c>
      <c r="D65" s="53" t="s">
        <v>693</v>
      </c>
      <c r="E65" s="53"/>
      <c r="F65" s="53"/>
      <c r="G65" s="53"/>
      <c r="H65" s="53" t="s">
        <v>947</v>
      </c>
      <c r="I65" s="53"/>
    </row>
    <row r="66" spans="1:9" s="54" customFormat="1" ht="18" customHeight="1">
      <c r="A66" s="52">
        <v>65</v>
      </c>
      <c r="B66" s="53" t="s">
        <v>65</v>
      </c>
      <c r="C66" s="53" t="s">
        <v>155</v>
      </c>
      <c r="D66" s="53" t="s">
        <v>16</v>
      </c>
      <c r="E66" s="53"/>
      <c r="F66" s="53" t="s">
        <v>1073</v>
      </c>
      <c r="G66" s="53"/>
      <c r="H66" s="53" t="s">
        <v>238</v>
      </c>
      <c r="I66" s="53"/>
    </row>
    <row r="67" spans="1:9" s="54" customFormat="1" ht="18" customHeight="1">
      <c r="A67" s="52">
        <v>66</v>
      </c>
      <c r="B67" s="53" t="s">
        <v>65</v>
      </c>
      <c r="C67" s="53" t="s">
        <v>260</v>
      </c>
      <c r="D67" s="53" t="s">
        <v>76</v>
      </c>
      <c r="E67" s="53"/>
      <c r="F67" s="53" t="s">
        <v>1040</v>
      </c>
      <c r="G67" s="53" t="s">
        <v>8</v>
      </c>
      <c r="H67" s="53" t="s">
        <v>1074</v>
      </c>
      <c r="I67" s="53"/>
    </row>
    <row r="68" spans="1:9" s="54" customFormat="1" ht="18" customHeight="1">
      <c r="A68" s="52">
        <v>67</v>
      </c>
      <c r="B68" s="53" t="s">
        <v>65</v>
      </c>
      <c r="C68" s="53" t="s">
        <v>696</v>
      </c>
      <c r="D68" s="53" t="s">
        <v>697</v>
      </c>
      <c r="E68" s="53"/>
      <c r="F68" s="53"/>
      <c r="G68" s="53"/>
      <c r="H68" s="53" t="s">
        <v>945</v>
      </c>
      <c r="I68" s="53"/>
    </row>
    <row r="69" spans="1:9" s="54" customFormat="1" ht="18" customHeight="1">
      <c r="A69" s="52">
        <v>68</v>
      </c>
      <c r="B69" s="53" t="s">
        <v>65</v>
      </c>
      <c r="C69" s="53" t="s">
        <v>699</v>
      </c>
      <c r="D69" s="53" t="s">
        <v>700</v>
      </c>
      <c r="E69" s="53"/>
      <c r="F69" s="53"/>
      <c r="G69" s="53" t="s">
        <v>571</v>
      </c>
      <c r="H69" s="53" t="s">
        <v>1075</v>
      </c>
      <c r="I69" s="53"/>
    </row>
    <row r="70" spans="1:9" s="54" customFormat="1" ht="18" customHeight="1">
      <c r="A70" s="52">
        <v>69</v>
      </c>
      <c r="B70" s="53" t="s">
        <v>65</v>
      </c>
      <c r="C70" s="53" t="s">
        <v>261</v>
      </c>
      <c r="D70" s="53" t="s">
        <v>262</v>
      </c>
      <c r="E70" s="53"/>
      <c r="F70" s="53"/>
      <c r="G70" s="53" t="s">
        <v>1076</v>
      </c>
      <c r="H70" s="53"/>
      <c r="I70" s="53"/>
    </row>
    <row r="71" spans="1:9" s="54" customFormat="1" ht="18" customHeight="1">
      <c r="A71" s="52">
        <v>70</v>
      </c>
      <c r="B71" s="53" t="s">
        <v>65</v>
      </c>
      <c r="C71" s="53" t="s">
        <v>702</v>
      </c>
      <c r="D71" s="53" t="s">
        <v>703</v>
      </c>
      <c r="E71" s="53"/>
      <c r="F71" s="53"/>
      <c r="G71" s="53"/>
      <c r="H71" s="53" t="s">
        <v>549</v>
      </c>
      <c r="I71" s="53"/>
    </row>
    <row r="72" spans="1:9" s="54" customFormat="1" ht="18" customHeight="1">
      <c r="A72" s="52">
        <v>71</v>
      </c>
      <c r="B72" s="53" t="s">
        <v>66</v>
      </c>
      <c r="C72" s="53" t="s">
        <v>705</v>
      </c>
      <c r="D72" s="53" t="s">
        <v>251</v>
      </c>
      <c r="E72" s="53"/>
      <c r="F72" s="53"/>
      <c r="G72" s="53" t="s">
        <v>946</v>
      </c>
      <c r="H72" s="53"/>
      <c r="I72" s="53"/>
    </row>
    <row r="73" spans="1:9" s="54" customFormat="1" ht="18" customHeight="1">
      <c r="A73" s="52">
        <v>72</v>
      </c>
      <c r="B73" s="53" t="s">
        <v>66</v>
      </c>
      <c r="C73" s="53" t="s">
        <v>217</v>
      </c>
      <c r="D73" s="53" t="s">
        <v>34</v>
      </c>
      <c r="E73" s="53" t="s">
        <v>1077</v>
      </c>
      <c r="F73" s="53"/>
      <c r="G73" s="53" t="s">
        <v>1050</v>
      </c>
      <c r="H73" s="53"/>
      <c r="I73" s="53"/>
    </row>
    <row r="74" spans="1:9" s="54" customFormat="1" ht="18" customHeight="1">
      <c r="A74" s="52">
        <v>73</v>
      </c>
      <c r="B74" s="53" t="s">
        <v>67</v>
      </c>
      <c r="C74" s="53" t="s">
        <v>263</v>
      </c>
      <c r="D74" s="53" t="s">
        <v>264</v>
      </c>
      <c r="E74" s="53" t="s">
        <v>1077</v>
      </c>
      <c r="F74" s="53"/>
      <c r="G74" s="53"/>
      <c r="H74" s="53"/>
      <c r="I74" s="53"/>
    </row>
    <row r="75" spans="1:9" s="54" customFormat="1" ht="18" customHeight="1">
      <c r="A75" s="52">
        <v>74</v>
      </c>
      <c r="B75" s="53" t="s">
        <v>67</v>
      </c>
      <c r="C75" s="53" t="s">
        <v>707</v>
      </c>
      <c r="D75" s="53" t="s">
        <v>191</v>
      </c>
      <c r="E75" s="53"/>
      <c r="F75" s="53"/>
      <c r="G75" s="53" t="s">
        <v>1058</v>
      </c>
      <c r="H75" s="53" t="s">
        <v>571</v>
      </c>
      <c r="I75" s="53"/>
    </row>
    <row r="76" spans="1:9" s="54" customFormat="1" ht="18" customHeight="1">
      <c r="A76" s="52">
        <v>75</v>
      </c>
      <c r="B76" s="53" t="s">
        <v>69</v>
      </c>
      <c r="C76" s="53" t="s">
        <v>246</v>
      </c>
      <c r="D76" s="53" t="s">
        <v>265</v>
      </c>
      <c r="E76" s="53"/>
      <c r="F76" s="53" t="s">
        <v>1056</v>
      </c>
      <c r="G76" s="53"/>
      <c r="H76" s="53"/>
      <c r="I76" s="53"/>
    </row>
    <row r="77" spans="1:9" s="54" customFormat="1" ht="18" customHeight="1">
      <c r="A77" s="52">
        <v>76</v>
      </c>
      <c r="B77" s="53" t="s">
        <v>69</v>
      </c>
      <c r="C77" s="53" t="s">
        <v>228</v>
      </c>
      <c r="D77" s="53" t="s">
        <v>210</v>
      </c>
      <c r="E77" s="53"/>
      <c r="F77" s="53"/>
      <c r="G77" s="53" t="s">
        <v>581</v>
      </c>
      <c r="H77" s="53" t="s">
        <v>531</v>
      </c>
      <c r="I77" s="53"/>
    </row>
    <row r="78" spans="1:9" s="54" customFormat="1" ht="18" customHeight="1">
      <c r="A78" s="52">
        <v>77</v>
      </c>
      <c r="B78" s="53" t="s">
        <v>69</v>
      </c>
      <c r="C78" s="53" t="s">
        <v>25</v>
      </c>
      <c r="D78" s="53" t="s">
        <v>710</v>
      </c>
      <c r="E78" s="53"/>
      <c r="F78" s="53"/>
      <c r="G78" s="53" t="s">
        <v>584</v>
      </c>
      <c r="H78" s="53" t="s">
        <v>530</v>
      </c>
      <c r="I78" s="53"/>
    </row>
    <row r="79" spans="1:9" s="54" customFormat="1" ht="18" customHeight="1">
      <c r="A79" s="52">
        <v>78</v>
      </c>
      <c r="B79" s="53" t="s">
        <v>73</v>
      </c>
      <c r="C79" s="53" t="s">
        <v>712</v>
      </c>
      <c r="D79" s="53" t="s">
        <v>713</v>
      </c>
      <c r="E79" s="53"/>
      <c r="F79" s="53"/>
      <c r="G79" s="53" t="s">
        <v>536</v>
      </c>
      <c r="H79" s="53" t="s">
        <v>952</v>
      </c>
      <c r="I79" s="53"/>
    </row>
    <row r="80" spans="1:9" s="54" customFormat="1" ht="18" customHeight="1">
      <c r="A80" s="52">
        <v>79</v>
      </c>
      <c r="B80" s="53" t="s">
        <v>73</v>
      </c>
      <c r="C80" s="53" t="s">
        <v>266</v>
      </c>
      <c r="D80" s="53" t="s">
        <v>70</v>
      </c>
      <c r="E80" s="53" t="s">
        <v>1077</v>
      </c>
      <c r="F80" s="53"/>
      <c r="G80" s="53"/>
      <c r="H80" s="53"/>
      <c r="I80" s="53"/>
    </row>
    <row r="81" spans="1:9" s="54" customFormat="1" ht="18" customHeight="1">
      <c r="A81" s="52">
        <v>80</v>
      </c>
      <c r="B81" s="53" t="s">
        <v>73</v>
      </c>
      <c r="C81" s="53" t="s">
        <v>267</v>
      </c>
      <c r="D81" s="53" t="s">
        <v>268</v>
      </c>
      <c r="E81" s="53"/>
      <c r="F81" s="53"/>
      <c r="G81" s="53" t="s">
        <v>948</v>
      </c>
      <c r="H81" s="53" t="s">
        <v>1078</v>
      </c>
      <c r="I81" s="53"/>
    </row>
    <row r="82" spans="1:9" s="54" customFormat="1" ht="18" customHeight="1">
      <c r="A82" s="52">
        <v>81</v>
      </c>
      <c r="B82" s="53" t="s">
        <v>73</v>
      </c>
      <c r="C82" s="53" t="s">
        <v>126</v>
      </c>
      <c r="D82" s="53" t="s">
        <v>16</v>
      </c>
      <c r="E82" s="53" t="s">
        <v>1052</v>
      </c>
      <c r="F82" s="53"/>
      <c r="G82" s="53"/>
      <c r="H82" s="53"/>
      <c r="I82" s="53"/>
    </row>
    <row r="83" spans="1:9" s="54" customFormat="1" ht="18" customHeight="1">
      <c r="A83" s="52">
        <v>82</v>
      </c>
      <c r="B83" s="53" t="s">
        <v>74</v>
      </c>
      <c r="C83" s="53" t="s">
        <v>269</v>
      </c>
      <c r="D83" s="53" t="s">
        <v>270</v>
      </c>
      <c r="E83" s="53"/>
      <c r="F83" s="53"/>
      <c r="G83" s="53"/>
      <c r="H83" s="53" t="s">
        <v>5</v>
      </c>
      <c r="I83" s="53"/>
    </row>
    <row r="84" spans="1:9" s="54" customFormat="1" ht="18" customHeight="1">
      <c r="A84" s="52">
        <v>83</v>
      </c>
      <c r="B84" s="53" t="s">
        <v>74</v>
      </c>
      <c r="C84" s="53" t="s">
        <v>77</v>
      </c>
      <c r="D84" s="53" t="s">
        <v>78</v>
      </c>
      <c r="E84" s="53"/>
      <c r="F84" s="53"/>
      <c r="G84" s="53"/>
      <c r="H84" s="53"/>
      <c r="I84" s="53"/>
    </row>
    <row r="85" spans="1:9" s="54" customFormat="1" ht="18" customHeight="1">
      <c r="A85" s="52">
        <v>84</v>
      </c>
      <c r="B85" s="53" t="s">
        <v>74</v>
      </c>
      <c r="C85" s="53" t="s">
        <v>717</v>
      </c>
      <c r="D85" s="53" t="s">
        <v>718</v>
      </c>
      <c r="E85" s="53"/>
      <c r="F85" s="53"/>
      <c r="G85" s="53"/>
      <c r="H85" s="53" t="s">
        <v>552</v>
      </c>
      <c r="I85" s="53"/>
    </row>
    <row r="86" spans="1:9" s="54" customFormat="1" ht="18" customHeight="1">
      <c r="A86" s="52">
        <v>85</v>
      </c>
      <c r="B86" s="53" t="s">
        <v>80</v>
      </c>
      <c r="C86" s="53" t="s">
        <v>192</v>
      </c>
      <c r="D86" s="53" t="s">
        <v>720</v>
      </c>
      <c r="E86" s="53"/>
      <c r="F86" s="53"/>
      <c r="G86" s="53"/>
      <c r="H86" s="53" t="s">
        <v>943</v>
      </c>
      <c r="I86" s="53"/>
    </row>
    <row r="87" spans="1:9" s="54" customFormat="1" ht="18" customHeight="1">
      <c r="A87" s="52">
        <v>86</v>
      </c>
      <c r="B87" s="53" t="s">
        <v>80</v>
      </c>
      <c r="C87" s="53" t="s">
        <v>271</v>
      </c>
      <c r="D87" s="53" t="s">
        <v>45</v>
      </c>
      <c r="E87" s="53"/>
      <c r="F87" s="53" t="s">
        <v>1048</v>
      </c>
      <c r="G87" s="53" t="s">
        <v>1079</v>
      </c>
      <c r="H87" s="53" t="s">
        <v>1080</v>
      </c>
      <c r="I87" s="53"/>
    </row>
    <row r="88" spans="1:9" s="54" customFormat="1" ht="18" customHeight="1">
      <c r="A88" s="52">
        <v>87</v>
      </c>
      <c r="B88" s="53" t="s">
        <v>81</v>
      </c>
      <c r="C88" s="53" t="s">
        <v>722</v>
      </c>
      <c r="D88" s="53" t="s">
        <v>93</v>
      </c>
      <c r="E88" s="53" t="s">
        <v>1053</v>
      </c>
      <c r="F88" s="53" t="s">
        <v>1056</v>
      </c>
      <c r="G88" s="53" t="s">
        <v>566</v>
      </c>
      <c r="H88" s="53"/>
      <c r="I88" s="53"/>
    </row>
    <row r="89" spans="1:9" s="54" customFormat="1" ht="18" customHeight="1">
      <c r="A89" s="52">
        <v>88</v>
      </c>
      <c r="B89" s="53" t="s">
        <v>82</v>
      </c>
      <c r="C89" s="53" t="s">
        <v>724</v>
      </c>
      <c r="D89" s="53" t="s">
        <v>725</v>
      </c>
      <c r="E89" s="53"/>
      <c r="F89" s="53"/>
      <c r="G89" s="53"/>
      <c r="H89" s="53" t="s">
        <v>584</v>
      </c>
      <c r="I89" s="53"/>
    </row>
    <row r="90" spans="1:9" s="54" customFormat="1" ht="18" customHeight="1">
      <c r="A90" s="52">
        <v>89</v>
      </c>
      <c r="B90" s="53" t="s">
        <v>82</v>
      </c>
      <c r="C90" s="53" t="s">
        <v>727</v>
      </c>
      <c r="D90" s="53" t="s">
        <v>728</v>
      </c>
      <c r="E90" s="53"/>
      <c r="F90" s="53"/>
      <c r="G90" s="53" t="s">
        <v>1074</v>
      </c>
      <c r="H90" s="53" t="s">
        <v>1081</v>
      </c>
      <c r="I90" s="53"/>
    </row>
    <row r="91" spans="1:9" s="54" customFormat="1" ht="18" customHeight="1">
      <c r="A91" s="52">
        <v>90</v>
      </c>
      <c r="B91" s="53" t="s">
        <v>82</v>
      </c>
      <c r="C91" s="53" t="s">
        <v>272</v>
      </c>
      <c r="D91" s="53" t="s">
        <v>61</v>
      </c>
      <c r="E91" s="53"/>
      <c r="F91" s="53" t="s">
        <v>1056</v>
      </c>
      <c r="G91" s="53"/>
      <c r="H91" s="53" t="s">
        <v>548</v>
      </c>
      <c r="I91" s="53"/>
    </row>
    <row r="92" spans="1:9" s="54" customFormat="1" ht="18" customHeight="1">
      <c r="A92" s="52">
        <v>91</v>
      </c>
      <c r="B92" s="53" t="s">
        <v>82</v>
      </c>
      <c r="C92" s="53" t="s">
        <v>730</v>
      </c>
      <c r="D92" s="53" t="s">
        <v>731</v>
      </c>
      <c r="E92" s="53"/>
      <c r="F92" s="53"/>
      <c r="G92" s="53"/>
      <c r="H92" s="53"/>
      <c r="I92" s="53"/>
    </row>
    <row r="93" spans="1:9" s="54" customFormat="1" ht="18" customHeight="1">
      <c r="A93" s="52">
        <v>92</v>
      </c>
      <c r="B93" s="53" t="s">
        <v>85</v>
      </c>
      <c r="C93" s="53" t="s">
        <v>192</v>
      </c>
      <c r="D93" s="53" t="s">
        <v>36</v>
      </c>
      <c r="E93" s="53"/>
      <c r="F93" s="53"/>
      <c r="G93" s="53" t="s">
        <v>1082</v>
      </c>
      <c r="H93" s="53" t="s">
        <v>1083</v>
      </c>
      <c r="I93" s="53"/>
    </row>
    <row r="94" spans="1:9" s="54" customFormat="1" ht="18" customHeight="1">
      <c r="A94" s="52">
        <v>93</v>
      </c>
      <c r="B94" s="53" t="s">
        <v>85</v>
      </c>
      <c r="C94" s="53" t="s">
        <v>116</v>
      </c>
      <c r="D94" s="53" t="s">
        <v>371</v>
      </c>
      <c r="E94" s="53"/>
      <c r="F94" s="53"/>
      <c r="G94" s="53" t="s">
        <v>1084</v>
      </c>
      <c r="H94" s="53"/>
      <c r="I94" s="53"/>
    </row>
    <row r="95" spans="1:9" s="54" customFormat="1" ht="18" customHeight="1">
      <c r="A95" s="52">
        <v>94</v>
      </c>
      <c r="B95" s="53" t="s">
        <v>87</v>
      </c>
      <c r="C95" s="53" t="s">
        <v>88</v>
      </c>
      <c r="D95" s="53" t="s">
        <v>89</v>
      </c>
      <c r="E95" s="53" t="s">
        <v>1053</v>
      </c>
      <c r="F95" s="53"/>
      <c r="G95" s="53"/>
      <c r="H95" s="53"/>
      <c r="I95" s="53"/>
    </row>
    <row r="96" spans="1:9" s="54" customFormat="1" ht="18" customHeight="1">
      <c r="A96" s="52">
        <v>95</v>
      </c>
      <c r="B96" s="53" t="s">
        <v>87</v>
      </c>
      <c r="C96" s="53" t="s">
        <v>735</v>
      </c>
      <c r="D96" s="53" t="s">
        <v>736</v>
      </c>
      <c r="E96" s="53" t="s">
        <v>1052</v>
      </c>
      <c r="F96" s="53"/>
      <c r="G96" s="53"/>
      <c r="H96" s="53"/>
      <c r="I96" s="53"/>
    </row>
    <row r="97" spans="1:9" s="54" customFormat="1" ht="18" customHeight="1">
      <c r="A97" s="52">
        <v>96</v>
      </c>
      <c r="B97" s="53" t="s">
        <v>87</v>
      </c>
      <c r="C97" s="53" t="s">
        <v>24</v>
      </c>
      <c r="D97" s="53" t="s">
        <v>90</v>
      </c>
      <c r="E97" s="53" t="s">
        <v>1036</v>
      </c>
      <c r="F97" s="53"/>
      <c r="G97" s="53" t="s">
        <v>540</v>
      </c>
      <c r="H97" s="53" t="s">
        <v>1085</v>
      </c>
      <c r="I97" s="53"/>
    </row>
    <row r="98" spans="1:9" s="54" customFormat="1" ht="18" customHeight="1">
      <c r="A98" s="52">
        <v>97</v>
      </c>
      <c r="B98" s="53" t="s">
        <v>87</v>
      </c>
      <c r="C98" s="53" t="s">
        <v>1086</v>
      </c>
      <c r="D98" s="53" t="s">
        <v>276</v>
      </c>
      <c r="E98" s="53"/>
      <c r="F98" s="53" t="s">
        <v>1056</v>
      </c>
      <c r="G98" s="53" t="s">
        <v>954</v>
      </c>
      <c r="H98" s="53" t="s">
        <v>582</v>
      </c>
      <c r="I98" s="53"/>
    </row>
    <row r="99" spans="1:9" s="54" customFormat="1" ht="18" customHeight="1">
      <c r="A99" s="52">
        <v>98</v>
      </c>
      <c r="B99" s="53" t="s">
        <v>91</v>
      </c>
      <c r="C99" s="53" t="s">
        <v>195</v>
      </c>
      <c r="D99" s="53" t="s">
        <v>196</v>
      </c>
      <c r="E99" s="53"/>
      <c r="F99" s="53"/>
      <c r="G99" s="53"/>
      <c r="H99" s="53"/>
      <c r="I99" s="53"/>
    </row>
    <row r="100" spans="1:9" s="54" customFormat="1" ht="18" customHeight="1">
      <c r="A100" s="52">
        <v>99</v>
      </c>
      <c r="B100" s="53" t="s">
        <v>91</v>
      </c>
      <c r="C100" s="53" t="s">
        <v>108</v>
      </c>
      <c r="D100" s="53" t="s">
        <v>277</v>
      </c>
      <c r="E100" s="53" t="s">
        <v>1087</v>
      </c>
      <c r="F100" s="53"/>
      <c r="G100" s="53" t="s">
        <v>954</v>
      </c>
      <c r="H100" s="53" t="s">
        <v>1088</v>
      </c>
      <c r="I100" s="53"/>
    </row>
    <row r="101" spans="1:9" s="54" customFormat="1" ht="18" customHeight="1">
      <c r="A101" s="52">
        <v>100</v>
      </c>
      <c r="B101" s="53" t="s">
        <v>91</v>
      </c>
      <c r="C101" s="53" t="s">
        <v>278</v>
      </c>
      <c r="D101" s="53" t="s">
        <v>137</v>
      </c>
      <c r="E101" s="53"/>
      <c r="F101" s="53" t="s">
        <v>1056</v>
      </c>
      <c r="G101" s="53"/>
      <c r="H101" s="53"/>
      <c r="I101" s="53"/>
    </row>
    <row r="102" spans="1:9" s="54" customFormat="1" ht="18" customHeight="1">
      <c r="A102" s="52">
        <v>101</v>
      </c>
      <c r="B102" s="53" t="s">
        <v>92</v>
      </c>
      <c r="C102" s="53" t="s">
        <v>738</v>
      </c>
      <c r="D102" s="53" t="s">
        <v>739</v>
      </c>
      <c r="E102" s="53"/>
      <c r="F102" s="53"/>
      <c r="G102" s="53" t="s">
        <v>1089</v>
      </c>
      <c r="H102" s="53" t="s">
        <v>1090</v>
      </c>
      <c r="I102" s="53"/>
    </row>
    <row r="103" spans="1:9" s="54" customFormat="1" ht="18" customHeight="1">
      <c r="A103" s="52">
        <v>102</v>
      </c>
      <c r="B103" s="53" t="s">
        <v>92</v>
      </c>
      <c r="C103" s="53" t="s">
        <v>17</v>
      </c>
      <c r="D103" s="53" t="s">
        <v>18</v>
      </c>
      <c r="E103" s="53" t="s">
        <v>1087</v>
      </c>
      <c r="F103" s="53"/>
      <c r="G103" s="53" t="s">
        <v>952</v>
      </c>
      <c r="H103" s="53"/>
      <c r="I103" s="53"/>
    </row>
    <row r="104" spans="1:9" s="54" customFormat="1" ht="18" customHeight="1">
      <c r="A104" s="52">
        <v>103</v>
      </c>
      <c r="B104" s="53" t="s">
        <v>92</v>
      </c>
      <c r="C104" s="53" t="s">
        <v>741</v>
      </c>
      <c r="D104" s="53" t="s">
        <v>742</v>
      </c>
      <c r="E104" s="53"/>
      <c r="F104" s="53"/>
      <c r="G104" s="53" t="s">
        <v>1091</v>
      </c>
      <c r="H104" s="53" t="s">
        <v>10</v>
      </c>
      <c r="I104" s="53"/>
    </row>
    <row r="105" spans="1:9" s="54" customFormat="1" ht="18" customHeight="1">
      <c r="A105" s="52">
        <v>104</v>
      </c>
      <c r="B105" s="53" t="s">
        <v>92</v>
      </c>
      <c r="C105" s="53" t="s">
        <v>198</v>
      </c>
      <c r="D105" s="53" t="s">
        <v>1092</v>
      </c>
      <c r="E105" s="53"/>
      <c r="F105" s="53"/>
      <c r="G105" s="53" t="s">
        <v>948</v>
      </c>
      <c r="H105" s="53" t="s">
        <v>948</v>
      </c>
      <c r="I105" s="53"/>
    </row>
    <row r="106" spans="1:9" s="54" customFormat="1" ht="18" customHeight="1">
      <c r="A106" s="52">
        <v>105</v>
      </c>
      <c r="B106" s="53" t="s">
        <v>92</v>
      </c>
      <c r="C106" s="53" t="s">
        <v>39</v>
      </c>
      <c r="D106" s="53" t="s">
        <v>13</v>
      </c>
      <c r="E106" s="53" t="s">
        <v>1069</v>
      </c>
      <c r="F106" s="53"/>
      <c r="G106" s="53"/>
      <c r="H106" s="53" t="s">
        <v>951</v>
      </c>
      <c r="I106" s="53"/>
    </row>
    <row r="107" spans="1:9" s="54" customFormat="1" ht="18" customHeight="1">
      <c r="A107" s="52">
        <v>106</v>
      </c>
      <c r="B107" s="53" t="s">
        <v>92</v>
      </c>
      <c r="C107" s="53" t="s">
        <v>280</v>
      </c>
      <c r="D107" s="53" t="s">
        <v>16</v>
      </c>
      <c r="E107" s="53"/>
      <c r="F107" s="53"/>
      <c r="G107" s="53" t="s">
        <v>546</v>
      </c>
      <c r="H107" s="53"/>
      <c r="I107" s="53"/>
    </row>
    <row r="108" spans="1:9" s="54" customFormat="1" ht="18" customHeight="1">
      <c r="A108" s="52">
        <v>107</v>
      </c>
      <c r="B108" s="53" t="s">
        <v>92</v>
      </c>
      <c r="C108" s="53" t="s">
        <v>745</v>
      </c>
      <c r="D108" s="53" t="s">
        <v>746</v>
      </c>
      <c r="E108" s="53"/>
      <c r="F108" s="53"/>
      <c r="G108" s="53" t="s">
        <v>1070</v>
      </c>
      <c r="H108" s="53" t="s">
        <v>527</v>
      </c>
      <c r="I108" s="53"/>
    </row>
    <row r="109" spans="1:9" s="54" customFormat="1" ht="18" customHeight="1">
      <c r="A109" s="52">
        <v>108</v>
      </c>
      <c r="B109" s="53" t="s">
        <v>95</v>
      </c>
      <c r="C109" s="53" t="s">
        <v>15</v>
      </c>
      <c r="D109" s="53" t="s">
        <v>748</v>
      </c>
      <c r="E109" s="53" t="s">
        <v>1093</v>
      </c>
      <c r="F109" s="53"/>
      <c r="G109" s="53" t="s">
        <v>1094</v>
      </c>
      <c r="H109" s="53" t="s">
        <v>561</v>
      </c>
      <c r="I109" s="53"/>
    </row>
    <row r="110" spans="1:9" s="54" customFormat="1" ht="18" customHeight="1">
      <c r="A110" s="52">
        <v>109</v>
      </c>
      <c r="B110" s="53" t="s">
        <v>95</v>
      </c>
      <c r="C110" s="53" t="s">
        <v>83</v>
      </c>
      <c r="D110" s="53" t="s">
        <v>282</v>
      </c>
      <c r="E110" s="53" t="s">
        <v>1052</v>
      </c>
      <c r="F110" s="53"/>
      <c r="G110" s="53" t="s">
        <v>954</v>
      </c>
      <c r="H110" s="53" t="s">
        <v>954</v>
      </c>
      <c r="I110" s="53"/>
    </row>
    <row r="111" spans="1:9" s="54" customFormat="1" ht="18" customHeight="1">
      <c r="A111" s="52">
        <v>110</v>
      </c>
      <c r="B111" s="53" t="s">
        <v>95</v>
      </c>
      <c r="C111" s="53" t="s">
        <v>83</v>
      </c>
      <c r="D111" s="53" t="s">
        <v>283</v>
      </c>
      <c r="E111" s="53"/>
      <c r="F111" s="53" t="s">
        <v>1095</v>
      </c>
      <c r="G111" s="53" t="s">
        <v>8</v>
      </c>
      <c r="H111" s="53"/>
      <c r="I111" s="53"/>
    </row>
    <row r="112" spans="1:9" s="54" customFormat="1" ht="18" customHeight="1">
      <c r="A112" s="52">
        <v>111</v>
      </c>
      <c r="B112" s="53" t="s">
        <v>97</v>
      </c>
      <c r="C112" s="53" t="s">
        <v>284</v>
      </c>
      <c r="D112" s="53" t="s">
        <v>285</v>
      </c>
      <c r="E112" s="53"/>
      <c r="F112" s="53"/>
      <c r="G112" s="53" t="s">
        <v>1062</v>
      </c>
      <c r="H112" s="53" t="s">
        <v>10</v>
      </c>
      <c r="I112" s="53"/>
    </row>
    <row r="113" spans="1:9" s="54" customFormat="1" ht="18" customHeight="1">
      <c r="A113" s="52">
        <v>112</v>
      </c>
      <c r="B113" s="53" t="s">
        <v>97</v>
      </c>
      <c r="C113" s="53" t="s">
        <v>286</v>
      </c>
      <c r="D113" s="53" t="s">
        <v>287</v>
      </c>
      <c r="E113" s="53"/>
      <c r="F113" s="53"/>
      <c r="G113" s="53" t="s">
        <v>570</v>
      </c>
      <c r="H113" s="53" t="s">
        <v>1096</v>
      </c>
      <c r="I113" s="53"/>
    </row>
    <row r="114" spans="1:9" s="54" customFormat="1" ht="18" customHeight="1">
      <c r="A114" s="52">
        <v>113</v>
      </c>
      <c r="B114" s="53" t="s">
        <v>751</v>
      </c>
      <c r="C114" s="53" t="s">
        <v>752</v>
      </c>
      <c r="D114" s="53" t="s">
        <v>753</v>
      </c>
      <c r="E114" s="53"/>
      <c r="F114" s="53"/>
      <c r="G114" s="53"/>
      <c r="H114" s="53"/>
      <c r="I114" s="53"/>
    </row>
    <row r="115" spans="1:9" s="54" customFormat="1" ht="18" customHeight="1">
      <c r="A115" s="52">
        <v>114</v>
      </c>
      <c r="B115" s="53" t="s">
        <v>98</v>
      </c>
      <c r="C115" s="53" t="s">
        <v>755</v>
      </c>
      <c r="D115" s="53" t="s">
        <v>281</v>
      </c>
      <c r="E115" s="53"/>
      <c r="F115" s="53" t="s">
        <v>1040</v>
      </c>
      <c r="G115" s="53"/>
      <c r="H115" s="53"/>
      <c r="I115" s="53"/>
    </row>
    <row r="116" spans="1:9" s="54" customFormat="1" ht="18" customHeight="1">
      <c r="A116" s="52">
        <v>115</v>
      </c>
      <c r="B116" s="53" t="s">
        <v>98</v>
      </c>
      <c r="C116" s="53" t="s">
        <v>757</v>
      </c>
      <c r="D116" s="53" t="s">
        <v>758</v>
      </c>
      <c r="E116" s="53" t="s">
        <v>1036</v>
      </c>
      <c r="F116" s="53"/>
      <c r="G116" s="53" t="s">
        <v>1097</v>
      </c>
      <c r="H116" s="53" t="s">
        <v>8</v>
      </c>
      <c r="I116" s="53"/>
    </row>
    <row r="117" spans="1:9" s="54" customFormat="1" ht="18" customHeight="1">
      <c r="A117" s="52">
        <v>116</v>
      </c>
      <c r="B117" s="53" t="s">
        <v>98</v>
      </c>
      <c r="C117" s="53" t="s">
        <v>288</v>
      </c>
      <c r="D117" s="53" t="s">
        <v>106</v>
      </c>
      <c r="E117" s="53"/>
      <c r="F117" s="53"/>
      <c r="G117" s="53" t="s">
        <v>533</v>
      </c>
      <c r="H117" s="53" t="s">
        <v>945</v>
      </c>
      <c r="I117" s="53"/>
    </row>
    <row r="118" spans="1:9" s="54" customFormat="1" ht="18" customHeight="1">
      <c r="A118" s="52">
        <v>117</v>
      </c>
      <c r="B118" s="53" t="s">
        <v>98</v>
      </c>
      <c r="C118" s="53" t="s">
        <v>201</v>
      </c>
      <c r="D118" s="53" t="s">
        <v>202</v>
      </c>
      <c r="E118" s="53"/>
      <c r="F118" s="53" t="s">
        <v>1056</v>
      </c>
      <c r="G118" s="53"/>
      <c r="H118" s="53" t="s">
        <v>533</v>
      </c>
      <c r="I118" s="53"/>
    </row>
    <row r="119" spans="1:9" s="54" customFormat="1" ht="18" customHeight="1">
      <c r="A119" s="52">
        <v>118</v>
      </c>
      <c r="B119" s="53" t="s">
        <v>98</v>
      </c>
      <c r="C119" s="53" t="s">
        <v>761</v>
      </c>
      <c r="D119" s="53" t="s">
        <v>106</v>
      </c>
      <c r="E119" s="53" t="s">
        <v>1053</v>
      </c>
      <c r="F119" s="53" t="s">
        <v>1065</v>
      </c>
      <c r="G119" s="53" t="s">
        <v>3</v>
      </c>
      <c r="H119" s="53" t="s">
        <v>3</v>
      </c>
      <c r="I119" s="53"/>
    </row>
    <row r="120" spans="1:9" s="54" customFormat="1" ht="18" customHeight="1">
      <c r="A120" s="52">
        <v>119</v>
      </c>
      <c r="B120" s="53" t="s">
        <v>101</v>
      </c>
      <c r="C120" s="53" t="s">
        <v>102</v>
      </c>
      <c r="D120" s="53" t="s">
        <v>103</v>
      </c>
      <c r="E120" s="53" t="s">
        <v>1098</v>
      </c>
      <c r="F120" s="53"/>
      <c r="G120" s="53"/>
      <c r="H120" s="53"/>
      <c r="I120" s="53"/>
    </row>
    <row r="121" spans="1:9" s="54" customFormat="1" ht="18" customHeight="1">
      <c r="A121" s="52">
        <v>120</v>
      </c>
      <c r="B121" s="53" t="s">
        <v>101</v>
      </c>
      <c r="C121" s="53" t="s">
        <v>763</v>
      </c>
      <c r="D121" s="53" t="s">
        <v>308</v>
      </c>
      <c r="E121" s="53"/>
      <c r="F121" s="53"/>
      <c r="G121" s="53"/>
      <c r="H121" s="53"/>
      <c r="I121" s="53"/>
    </row>
    <row r="122" spans="1:9" s="54" customFormat="1" ht="18" customHeight="1">
      <c r="A122" s="52">
        <v>121</v>
      </c>
      <c r="B122" s="53" t="s">
        <v>101</v>
      </c>
      <c r="C122" s="53" t="s">
        <v>755</v>
      </c>
      <c r="D122" s="53" t="s">
        <v>89</v>
      </c>
      <c r="E122" s="53"/>
      <c r="F122" s="53"/>
      <c r="G122" s="53"/>
      <c r="H122" s="53"/>
      <c r="I122" s="53"/>
    </row>
    <row r="123" spans="1:9" s="54" customFormat="1" ht="18" customHeight="1">
      <c r="A123" s="52">
        <v>122</v>
      </c>
      <c r="B123" s="53" t="s">
        <v>104</v>
      </c>
      <c r="C123" s="53" t="s">
        <v>766</v>
      </c>
      <c r="D123" s="53" t="s">
        <v>767</v>
      </c>
      <c r="E123" s="53"/>
      <c r="F123" s="53" t="s">
        <v>1065</v>
      </c>
      <c r="G123" s="53"/>
      <c r="H123" s="53" t="s">
        <v>1066</v>
      </c>
      <c r="I123" s="53"/>
    </row>
    <row r="124" spans="1:9" s="54" customFormat="1" ht="18" customHeight="1">
      <c r="A124" s="52">
        <v>123</v>
      </c>
      <c r="B124" s="53" t="s">
        <v>104</v>
      </c>
      <c r="C124" s="53" t="s">
        <v>105</v>
      </c>
      <c r="D124" s="53" t="s">
        <v>100</v>
      </c>
      <c r="E124" s="53"/>
      <c r="F124" s="53" t="s">
        <v>1056</v>
      </c>
      <c r="G124" s="53"/>
      <c r="H124" s="53"/>
      <c r="I124" s="53"/>
    </row>
    <row r="125" spans="1:9" s="54" customFormat="1" ht="18" customHeight="1">
      <c r="A125" s="52">
        <v>124</v>
      </c>
      <c r="B125" s="53" t="s">
        <v>104</v>
      </c>
      <c r="C125" s="53" t="s">
        <v>15</v>
      </c>
      <c r="D125" s="53" t="s">
        <v>769</v>
      </c>
      <c r="E125" s="53" t="s">
        <v>1069</v>
      </c>
      <c r="F125" s="53"/>
      <c r="G125" s="53" t="s">
        <v>524</v>
      </c>
      <c r="H125" s="53" t="s">
        <v>1099</v>
      </c>
      <c r="I125" s="53"/>
    </row>
    <row r="126" spans="1:9" s="54" customFormat="1" ht="18" customHeight="1">
      <c r="A126" s="52">
        <v>125</v>
      </c>
      <c r="B126" s="53" t="s">
        <v>104</v>
      </c>
      <c r="C126" s="53" t="s">
        <v>771</v>
      </c>
      <c r="D126" s="53" t="s">
        <v>200</v>
      </c>
      <c r="E126" s="53" t="s">
        <v>1052</v>
      </c>
      <c r="F126" s="53"/>
      <c r="G126" s="53"/>
      <c r="H126" s="53" t="s">
        <v>944</v>
      </c>
      <c r="I126" s="53"/>
    </row>
    <row r="127" spans="1:9" s="54" customFormat="1" ht="18" customHeight="1">
      <c r="A127" s="52">
        <v>126</v>
      </c>
      <c r="B127" s="53" t="s">
        <v>104</v>
      </c>
      <c r="C127" s="53" t="s">
        <v>183</v>
      </c>
      <c r="D127" s="53" t="s">
        <v>289</v>
      </c>
      <c r="E127" s="53"/>
      <c r="F127" s="53"/>
      <c r="G127" s="53"/>
      <c r="H127" s="53"/>
      <c r="I127" s="53"/>
    </row>
    <row r="128" spans="1:9" s="54" customFormat="1" ht="18" customHeight="1">
      <c r="A128" s="52">
        <v>127</v>
      </c>
      <c r="B128" s="53" t="s">
        <v>104</v>
      </c>
      <c r="C128" s="53" t="s">
        <v>274</v>
      </c>
      <c r="D128" s="53" t="s">
        <v>275</v>
      </c>
      <c r="E128" s="53"/>
      <c r="F128" s="53" t="s">
        <v>1040</v>
      </c>
      <c r="G128" s="53"/>
      <c r="H128" s="53"/>
      <c r="I128" s="53"/>
    </row>
    <row r="129" spans="1:9" s="54" customFormat="1" ht="18" customHeight="1">
      <c r="A129" s="52">
        <v>128</v>
      </c>
      <c r="B129" s="53" t="s">
        <v>104</v>
      </c>
      <c r="C129" s="53" t="s">
        <v>205</v>
      </c>
      <c r="D129" s="53" t="s">
        <v>76</v>
      </c>
      <c r="E129" s="53"/>
      <c r="F129" s="53"/>
      <c r="G129" s="53" t="s">
        <v>10</v>
      </c>
      <c r="H129" s="53"/>
      <c r="I129" s="53"/>
    </row>
    <row r="130" spans="1:9" s="54" customFormat="1" ht="18" customHeight="1">
      <c r="A130" s="52">
        <v>129</v>
      </c>
      <c r="B130" s="53" t="s">
        <v>104</v>
      </c>
      <c r="C130" s="53" t="s">
        <v>206</v>
      </c>
      <c r="D130" s="53" t="s">
        <v>207</v>
      </c>
      <c r="E130" s="53"/>
      <c r="F130" s="53"/>
      <c r="G130" s="53"/>
      <c r="H130" s="53"/>
      <c r="I130" s="53"/>
    </row>
    <row r="131" spans="1:9" s="54" customFormat="1" ht="18" customHeight="1">
      <c r="A131" s="52">
        <v>130</v>
      </c>
      <c r="B131" s="53" t="s">
        <v>104</v>
      </c>
      <c r="C131" s="53" t="s">
        <v>96</v>
      </c>
      <c r="D131" s="53" t="s">
        <v>68</v>
      </c>
      <c r="E131" s="53" t="s">
        <v>1037</v>
      </c>
      <c r="F131" s="53" t="s">
        <v>1038</v>
      </c>
      <c r="G131" s="53"/>
      <c r="H131" s="53" t="s">
        <v>1100</v>
      </c>
      <c r="I131" s="53"/>
    </row>
    <row r="132" spans="1:9" s="54" customFormat="1" ht="18" customHeight="1">
      <c r="A132" s="52">
        <v>131</v>
      </c>
      <c r="B132" s="53" t="s">
        <v>104</v>
      </c>
      <c r="C132" s="53" t="s">
        <v>290</v>
      </c>
      <c r="D132" s="53" t="s">
        <v>291</v>
      </c>
      <c r="E132" s="53"/>
      <c r="F132" s="53"/>
      <c r="G132" s="53"/>
      <c r="H132" s="53" t="s">
        <v>942</v>
      </c>
      <c r="I132" s="53"/>
    </row>
    <row r="133" spans="1:9" s="54" customFormat="1" ht="18" customHeight="1">
      <c r="A133" s="52">
        <v>132</v>
      </c>
      <c r="B133" s="53" t="s">
        <v>104</v>
      </c>
      <c r="C133" s="53" t="s">
        <v>208</v>
      </c>
      <c r="D133" s="53" t="s">
        <v>209</v>
      </c>
      <c r="E133" s="53"/>
      <c r="F133" s="53"/>
      <c r="G133" s="53" t="s">
        <v>7</v>
      </c>
      <c r="H133" s="53"/>
      <c r="I133" s="53"/>
    </row>
    <row r="134" spans="1:9" s="54" customFormat="1" ht="18" customHeight="1">
      <c r="A134" s="52">
        <v>133</v>
      </c>
      <c r="B134" s="53" t="s">
        <v>104</v>
      </c>
      <c r="C134" s="53" t="s">
        <v>292</v>
      </c>
      <c r="D134" s="53" t="s">
        <v>293</v>
      </c>
      <c r="E134" s="53"/>
      <c r="F134" s="53"/>
      <c r="G134" s="53"/>
      <c r="H134" s="53"/>
      <c r="I134" s="53"/>
    </row>
    <row r="135" spans="1:9" s="54" customFormat="1" ht="18" customHeight="1">
      <c r="A135" s="52">
        <v>134</v>
      </c>
      <c r="B135" s="53" t="s">
        <v>104</v>
      </c>
      <c r="C135" s="53" t="s">
        <v>773</v>
      </c>
      <c r="D135" s="53" t="s">
        <v>774</v>
      </c>
      <c r="E135" s="53"/>
      <c r="F135" s="53"/>
      <c r="G135" s="53"/>
      <c r="H135" s="53"/>
      <c r="I135" s="53"/>
    </row>
    <row r="136" spans="1:9" s="54" customFormat="1" ht="18" customHeight="1">
      <c r="A136" s="52">
        <v>135</v>
      </c>
      <c r="B136" s="53" t="s">
        <v>104</v>
      </c>
      <c r="C136" s="53" t="s">
        <v>145</v>
      </c>
      <c r="D136" s="53" t="s">
        <v>100</v>
      </c>
      <c r="E136" s="53" t="s">
        <v>1036</v>
      </c>
      <c r="F136" s="53"/>
      <c r="G136" s="53" t="s">
        <v>6</v>
      </c>
      <c r="H136" s="53"/>
      <c r="I136" s="53"/>
    </row>
    <row r="137" spans="1:9" s="54" customFormat="1" ht="18" customHeight="1">
      <c r="A137" s="52">
        <v>136</v>
      </c>
      <c r="B137" s="53" t="s">
        <v>104</v>
      </c>
      <c r="C137" s="53" t="s">
        <v>185</v>
      </c>
      <c r="D137" s="53" t="s">
        <v>186</v>
      </c>
      <c r="E137" s="53" t="s">
        <v>1037</v>
      </c>
      <c r="F137" s="53" t="s">
        <v>1038</v>
      </c>
      <c r="G137" s="53"/>
      <c r="H137" s="53"/>
      <c r="I137" s="53"/>
    </row>
    <row r="138" spans="1:9" s="54" customFormat="1" ht="18" customHeight="1">
      <c r="A138" s="52">
        <v>137</v>
      </c>
      <c r="B138" s="53" t="s">
        <v>104</v>
      </c>
      <c r="C138" s="53" t="s">
        <v>777</v>
      </c>
      <c r="D138" s="53" t="s">
        <v>778</v>
      </c>
      <c r="E138" s="53"/>
      <c r="F138" s="53"/>
      <c r="G138" s="53"/>
      <c r="H138" s="53" t="s">
        <v>1101</v>
      </c>
      <c r="I138" s="53"/>
    </row>
    <row r="139" spans="1:9" s="54" customFormat="1" ht="18" customHeight="1">
      <c r="A139" s="52">
        <v>138</v>
      </c>
      <c r="B139" s="53" t="s">
        <v>104</v>
      </c>
      <c r="C139" s="53" t="s">
        <v>780</v>
      </c>
      <c r="D139" s="53" t="s">
        <v>781</v>
      </c>
      <c r="E139" s="53"/>
      <c r="F139" s="53"/>
      <c r="G139" s="53"/>
      <c r="H139" s="53"/>
      <c r="I139" s="53"/>
    </row>
    <row r="140" spans="1:9" s="54" customFormat="1" ht="18" customHeight="1">
      <c r="A140" s="52">
        <v>140</v>
      </c>
      <c r="B140" s="53" t="s">
        <v>104</v>
      </c>
      <c r="C140" s="53" t="s">
        <v>783</v>
      </c>
      <c r="D140" s="53" t="s">
        <v>131</v>
      </c>
      <c r="E140" s="53" t="s">
        <v>1036</v>
      </c>
      <c r="F140" s="53"/>
      <c r="G140" s="53" t="s">
        <v>940</v>
      </c>
      <c r="H140" s="53"/>
      <c r="I140" s="53"/>
    </row>
    <row r="141" spans="1:9" s="54" customFormat="1" ht="18" customHeight="1">
      <c r="A141" s="52">
        <v>141</v>
      </c>
      <c r="B141" s="53" t="s">
        <v>104</v>
      </c>
      <c r="C141" s="53" t="s">
        <v>785</v>
      </c>
      <c r="D141" s="53" t="s">
        <v>786</v>
      </c>
      <c r="E141" s="53" t="s">
        <v>1069</v>
      </c>
      <c r="F141" s="53"/>
      <c r="G141" s="53" t="s">
        <v>1057</v>
      </c>
      <c r="H141" s="53" t="s">
        <v>524</v>
      </c>
      <c r="I141" s="53"/>
    </row>
    <row r="142" spans="1:9" s="54" customFormat="1" ht="18" customHeight="1">
      <c r="A142" s="52">
        <v>142</v>
      </c>
      <c r="B142" s="53" t="s">
        <v>104</v>
      </c>
      <c r="C142" s="53" t="s">
        <v>788</v>
      </c>
      <c r="D142" s="53" t="s">
        <v>279</v>
      </c>
      <c r="E142" s="53"/>
      <c r="F142" s="53"/>
      <c r="G142" s="53"/>
      <c r="H142" s="53"/>
      <c r="I142" s="53"/>
    </row>
    <row r="143" spans="1:9" s="54" customFormat="1" ht="18" customHeight="1">
      <c r="A143" s="52">
        <v>143</v>
      </c>
      <c r="B143" s="53" t="s">
        <v>104</v>
      </c>
      <c r="C143" s="53" t="s">
        <v>295</v>
      </c>
      <c r="D143" s="53" t="s">
        <v>296</v>
      </c>
      <c r="E143" s="53" t="s">
        <v>1037</v>
      </c>
      <c r="F143" s="53" t="s">
        <v>1038</v>
      </c>
      <c r="G143" s="53"/>
      <c r="H143" s="53"/>
      <c r="I143" s="53"/>
    </row>
    <row r="144" spans="1:9" s="54" customFormat="1" ht="18" customHeight="1">
      <c r="A144" s="52">
        <v>144</v>
      </c>
      <c r="B144" s="53" t="s">
        <v>104</v>
      </c>
      <c r="C144" s="53" t="s">
        <v>297</v>
      </c>
      <c r="D144" s="53" t="s">
        <v>298</v>
      </c>
      <c r="E144" s="53" t="s">
        <v>1052</v>
      </c>
      <c r="F144" s="53"/>
      <c r="G144" s="53" t="s">
        <v>1102</v>
      </c>
      <c r="H144" s="53"/>
      <c r="I144" s="53"/>
    </row>
    <row r="145" spans="1:9" s="54" customFormat="1" ht="18" customHeight="1">
      <c r="A145" s="52">
        <v>145</v>
      </c>
      <c r="B145" s="53" t="s">
        <v>104</v>
      </c>
      <c r="C145" s="53" t="s">
        <v>25</v>
      </c>
      <c r="D145" s="53" t="s">
        <v>210</v>
      </c>
      <c r="E145" s="53"/>
      <c r="F145" s="53" t="s">
        <v>1056</v>
      </c>
      <c r="G145" s="53" t="s">
        <v>237</v>
      </c>
      <c r="H145" s="53" t="s">
        <v>1103</v>
      </c>
      <c r="I145" s="53"/>
    </row>
    <row r="146" spans="1:9" s="54" customFormat="1" ht="18" customHeight="1">
      <c r="A146" s="52">
        <v>146</v>
      </c>
      <c r="B146" s="53" t="s">
        <v>104</v>
      </c>
      <c r="C146" s="53" t="s">
        <v>211</v>
      </c>
      <c r="D146" s="53" t="s">
        <v>182</v>
      </c>
      <c r="E146" s="53"/>
      <c r="F146" s="53"/>
      <c r="G146" s="53" t="s">
        <v>1104</v>
      </c>
      <c r="H146" s="53" t="s">
        <v>1067</v>
      </c>
      <c r="I146" s="53"/>
    </row>
    <row r="147" spans="1:9" s="54" customFormat="1" ht="18" customHeight="1">
      <c r="A147" s="52">
        <v>147</v>
      </c>
      <c r="B147" s="53" t="s">
        <v>104</v>
      </c>
      <c r="C147" s="53" t="s">
        <v>155</v>
      </c>
      <c r="D147" s="53" t="s">
        <v>231</v>
      </c>
      <c r="E147" s="53" t="s">
        <v>1053</v>
      </c>
      <c r="F147" s="53"/>
      <c r="G147" s="53"/>
      <c r="H147" s="53"/>
      <c r="I147" s="53"/>
    </row>
    <row r="148" spans="1:9" s="54" customFormat="1" ht="18" customHeight="1">
      <c r="A148" s="52">
        <v>148</v>
      </c>
      <c r="B148" s="53" t="s">
        <v>104</v>
      </c>
      <c r="C148" s="53" t="s">
        <v>212</v>
      </c>
      <c r="D148" s="53" t="s">
        <v>213</v>
      </c>
      <c r="E148" s="53"/>
      <c r="F148" s="53"/>
      <c r="G148" s="53"/>
      <c r="H148" s="53"/>
      <c r="I148" s="53"/>
    </row>
    <row r="149" spans="1:9" s="54" customFormat="1" ht="18" customHeight="1">
      <c r="A149" s="52">
        <v>149</v>
      </c>
      <c r="B149" s="53" t="s">
        <v>104</v>
      </c>
      <c r="C149" s="53" t="s">
        <v>344</v>
      </c>
      <c r="D149" s="53" t="s">
        <v>345</v>
      </c>
      <c r="E149" s="53" t="s">
        <v>1105</v>
      </c>
      <c r="F149" s="53" t="s">
        <v>1056</v>
      </c>
      <c r="G149" s="53"/>
      <c r="H149" s="53"/>
      <c r="I149" s="53"/>
    </row>
    <row r="150" spans="1:9" s="54" customFormat="1" ht="18" customHeight="1">
      <c r="A150" s="52">
        <v>150</v>
      </c>
      <c r="B150" s="53" t="s">
        <v>104</v>
      </c>
      <c r="C150" s="53" t="s">
        <v>148</v>
      </c>
      <c r="D150" s="53" t="s">
        <v>18</v>
      </c>
      <c r="E150" s="53" t="s">
        <v>1077</v>
      </c>
      <c r="F150" s="53"/>
      <c r="G150" s="53" t="s">
        <v>1100</v>
      </c>
      <c r="H150" s="53"/>
      <c r="I150" s="53"/>
    </row>
    <row r="151" spans="1:9" s="54" customFormat="1" ht="18" customHeight="1">
      <c r="A151" s="52">
        <v>151</v>
      </c>
      <c r="B151" s="53" t="s">
        <v>104</v>
      </c>
      <c r="C151" s="53" t="s">
        <v>792</v>
      </c>
      <c r="D151" s="53" t="s">
        <v>793</v>
      </c>
      <c r="E151" s="53"/>
      <c r="F151" s="53" t="s">
        <v>1056</v>
      </c>
      <c r="G151" s="53"/>
      <c r="H151" s="53" t="s">
        <v>1071</v>
      </c>
      <c r="I151" s="53"/>
    </row>
    <row r="152" spans="1:9" s="54" customFormat="1" ht="18" customHeight="1">
      <c r="A152" s="52">
        <v>152</v>
      </c>
      <c r="B152" s="53" t="s">
        <v>104</v>
      </c>
      <c r="C152" s="53" t="s">
        <v>320</v>
      </c>
      <c r="D152" s="53" t="s">
        <v>795</v>
      </c>
      <c r="E152" s="53"/>
      <c r="F152" s="53" t="s">
        <v>1056</v>
      </c>
      <c r="G152" s="53" t="s">
        <v>943</v>
      </c>
      <c r="H152" s="53" t="s">
        <v>577</v>
      </c>
      <c r="I152" s="53"/>
    </row>
    <row r="153" spans="1:9" s="54" customFormat="1" ht="18" customHeight="1">
      <c r="A153" s="52">
        <v>153</v>
      </c>
      <c r="B153" s="53" t="s">
        <v>104</v>
      </c>
      <c r="C153" s="53" t="s">
        <v>214</v>
      </c>
      <c r="D153" s="53" t="s">
        <v>215</v>
      </c>
      <c r="E153" s="53" t="s">
        <v>1053</v>
      </c>
      <c r="F153" s="53"/>
      <c r="G153" s="53"/>
      <c r="H153" s="53"/>
      <c r="I153" s="53"/>
    </row>
    <row r="154" spans="1:9" s="54" customFormat="1" ht="18" customHeight="1">
      <c r="A154" s="52">
        <v>154</v>
      </c>
      <c r="B154" s="53" t="s">
        <v>104</v>
      </c>
      <c r="C154" s="53" t="s">
        <v>299</v>
      </c>
      <c r="D154" s="53" t="s">
        <v>300</v>
      </c>
      <c r="E154" s="53" t="s">
        <v>1037</v>
      </c>
      <c r="F154" s="53" t="s">
        <v>1038</v>
      </c>
      <c r="G154" s="53"/>
      <c r="H154" s="53"/>
      <c r="I154" s="53"/>
    </row>
    <row r="155" spans="1:9" s="54" customFormat="1" ht="18" customHeight="1">
      <c r="A155" s="52">
        <v>155</v>
      </c>
      <c r="B155" s="53" t="s">
        <v>104</v>
      </c>
      <c r="C155" s="53" t="s">
        <v>798</v>
      </c>
      <c r="D155" s="53" t="s">
        <v>693</v>
      </c>
      <c r="E155" s="53"/>
      <c r="F155" s="53"/>
      <c r="G155" s="53" t="s">
        <v>1106</v>
      </c>
      <c r="H155" s="53"/>
      <c r="I155" s="53"/>
    </row>
    <row r="156" spans="1:9" s="54" customFormat="1" ht="18" customHeight="1">
      <c r="A156" s="52">
        <v>156</v>
      </c>
      <c r="B156" s="53" t="s">
        <v>104</v>
      </c>
      <c r="C156" s="53" t="s">
        <v>800</v>
      </c>
      <c r="D156" s="53" t="s">
        <v>113</v>
      </c>
      <c r="E156" s="53"/>
      <c r="F156" s="53" t="s">
        <v>1065</v>
      </c>
      <c r="G156" s="53"/>
      <c r="H156" s="53"/>
      <c r="I156" s="53"/>
    </row>
    <row r="157" spans="1:9" s="54" customFormat="1" ht="18" customHeight="1">
      <c r="A157" s="52">
        <v>157</v>
      </c>
      <c r="B157" s="53" t="s">
        <v>104</v>
      </c>
      <c r="C157" s="53" t="s">
        <v>301</v>
      </c>
      <c r="D157" s="53" t="s">
        <v>302</v>
      </c>
      <c r="E157" s="53"/>
      <c r="F157" s="53"/>
      <c r="G157" s="53"/>
      <c r="H157" s="53" t="s">
        <v>1107</v>
      </c>
      <c r="I157" s="53"/>
    </row>
    <row r="158" spans="1:9" s="54" customFormat="1" ht="18" customHeight="1">
      <c r="A158" s="52">
        <v>158</v>
      </c>
      <c r="B158" s="53" t="s">
        <v>104</v>
      </c>
      <c r="C158" s="53" t="s">
        <v>217</v>
      </c>
      <c r="D158" s="53" t="s">
        <v>120</v>
      </c>
      <c r="E158" s="53"/>
      <c r="F158" s="53"/>
      <c r="G158" s="53"/>
      <c r="H158" s="53" t="s">
        <v>7</v>
      </c>
      <c r="I158" s="53"/>
    </row>
    <row r="159" spans="1:9" s="54" customFormat="1" ht="18" customHeight="1">
      <c r="A159" s="52">
        <v>159</v>
      </c>
      <c r="B159" s="53" t="s">
        <v>104</v>
      </c>
      <c r="C159" s="53" t="s">
        <v>219</v>
      </c>
      <c r="D159" s="53" t="s">
        <v>190</v>
      </c>
      <c r="E159" s="53"/>
      <c r="F159" s="53"/>
      <c r="G159" s="53" t="s">
        <v>565</v>
      </c>
      <c r="H159" s="53" t="s">
        <v>1108</v>
      </c>
      <c r="I159" s="53"/>
    </row>
    <row r="160" spans="1:9" s="54" customFormat="1" ht="18" customHeight="1">
      <c r="A160" s="52">
        <v>160</v>
      </c>
      <c r="B160" s="53" t="s">
        <v>104</v>
      </c>
      <c r="C160" s="53" t="s">
        <v>115</v>
      </c>
      <c r="D160" s="53" t="s">
        <v>220</v>
      </c>
      <c r="E160" s="53"/>
      <c r="F160" s="53"/>
      <c r="G160" s="53" t="s">
        <v>5</v>
      </c>
      <c r="H160" s="53"/>
      <c r="I160" s="53"/>
    </row>
    <row r="161" spans="1:9" s="54" customFormat="1" ht="18" customHeight="1">
      <c r="A161" s="52">
        <v>161</v>
      </c>
      <c r="B161" s="53" t="s">
        <v>104</v>
      </c>
      <c r="C161" s="53" t="s">
        <v>303</v>
      </c>
      <c r="D161" s="53" t="s">
        <v>304</v>
      </c>
      <c r="E161" s="53"/>
      <c r="F161" s="53" t="s">
        <v>1040</v>
      </c>
      <c r="G161" s="53" t="s">
        <v>562</v>
      </c>
      <c r="H161" s="53" t="s">
        <v>562</v>
      </c>
      <c r="I161" s="53"/>
    </row>
    <row r="162" spans="1:9" s="54" customFormat="1" ht="18" customHeight="1">
      <c r="A162" s="52">
        <v>163</v>
      </c>
      <c r="B162" s="53" t="s">
        <v>111</v>
      </c>
      <c r="C162" s="53" t="s">
        <v>802</v>
      </c>
      <c r="D162" s="53" t="s">
        <v>282</v>
      </c>
      <c r="E162" s="53"/>
      <c r="F162" s="53"/>
      <c r="G162" s="53"/>
      <c r="H162" s="53"/>
      <c r="I162" s="53"/>
    </row>
    <row r="163" spans="1:9" s="54" customFormat="1" ht="18" customHeight="1">
      <c r="A163" s="52">
        <v>164</v>
      </c>
      <c r="B163" s="53" t="s">
        <v>111</v>
      </c>
      <c r="C163" s="53" t="s">
        <v>339</v>
      </c>
      <c r="D163" s="53" t="s">
        <v>340</v>
      </c>
      <c r="E163" s="53"/>
      <c r="F163" s="53"/>
      <c r="G163" s="53" t="s">
        <v>537</v>
      </c>
      <c r="H163" s="53"/>
      <c r="I163" s="53"/>
    </row>
    <row r="164" spans="1:9" s="54" customFormat="1" ht="18" customHeight="1">
      <c r="A164" s="52">
        <v>165</v>
      </c>
      <c r="B164" s="53" t="s">
        <v>111</v>
      </c>
      <c r="C164" s="53" t="s">
        <v>221</v>
      </c>
      <c r="D164" s="53" t="s">
        <v>84</v>
      </c>
      <c r="E164" s="53" t="s">
        <v>1037</v>
      </c>
      <c r="F164" s="53" t="s">
        <v>1038</v>
      </c>
      <c r="G164" s="53"/>
      <c r="H164" s="53"/>
      <c r="I164" s="53"/>
    </row>
    <row r="165" spans="1:9" s="54" customFormat="1" ht="18" customHeight="1">
      <c r="A165" s="52">
        <v>166</v>
      </c>
      <c r="B165" s="53" t="s">
        <v>111</v>
      </c>
      <c r="C165" s="53" t="s">
        <v>25</v>
      </c>
      <c r="D165" s="53" t="s">
        <v>307</v>
      </c>
      <c r="E165" s="53"/>
      <c r="F165" s="53" t="s">
        <v>1056</v>
      </c>
      <c r="G165" s="53" t="s">
        <v>530</v>
      </c>
      <c r="H165" s="53"/>
      <c r="I165" s="53"/>
    </row>
    <row r="166" spans="1:9" s="54" customFormat="1" ht="18" customHeight="1">
      <c r="A166" s="52">
        <v>167</v>
      </c>
      <c r="B166" s="53" t="s">
        <v>111</v>
      </c>
      <c r="C166" s="53" t="s">
        <v>804</v>
      </c>
      <c r="D166" s="53" t="s">
        <v>805</v>
      </c>
      <c r="E166" s="53"/>
      <c r="F166" s="53"/>
      <c r="G166" s="53" t="s">
        <v>1109</v>
      </c>
      <c r="H166" s="53" t="s">
        <v>947</v>
      </c>
      <c r="I166" s="53"/>
    </row>
    <row r="167" spans="1:9" s="54" customFormat="1" ht="18" customHeight="1">
      <c r="A167" s="52">
        <v>168</v>
      </c>
      <c r="B167" s="53" t="s">
        <v>111</v>
      </c>
      <c r="C167" s="53" t="s">
        <v>807</v>
      </c>
      <c r="D167" s="53" t="s">
        <v>306</v>
      </c>
      <c r="E167" s="53"/>
      <c r="F167" s="53"/>
      <c r="G167" s="53"/>
      <c r="H167" s="53" t="s">
        <v>1110</v>
      </c>
      <c r="I167" s="53"/>
    </row>
    <row r="168" spans="1:9" s="54" customFormat="1" ht="18" customHeight="1">
      <c r="A168" s="52">
        <v>169</v>
      </c>
      <c r="B168" s="53" t="s">
        <v>111</v>
      </c>
      <c r="C168" s="53" t="s">
        <v>809</v>
      </c>
      <c r="D168" s="53" t="s">
        <v>1111</v>
      </c>
      <c r="E168" s="53" t="s">
        <v>1069</v>
      </c>
      <c r="F168" s="53"/>
      <c r="G168" s="53" t="s">
        <v>238</v>
      </c>
      <c r="H168" s="53" t="s">
        <v>238</v>
      </c>
      <c r="I168" s="53"/>
    </row>
    <row r="169" spans="1:9" s="54" customFormat="1" ht="18" customHeight="1">
      <c r="A169" s="52">
        <v>170</v>
      </c>
      <c r="B169" s="53" t="s">
        <v>111</v>
      </c>
      <c r="C169" s="53" t="s">
        <v>71</v>
      </c>
      <c r="D169" s="53" t="s">
        <v>86</v>
      </c>
      <c r="E169" s="53"/>
      <c r="F169" s="53"/>
      <c r="G169" s="53"/>
      <c r="H169" s="53"/>
      <c r="I169" s="53"/>
    </row>
    <row r="170" spans="1:9" s="54" customFormat="1" ht="18" customHeight="1">
      <c r="A170" s="52">
        <v>171</v>
      </c>
      <c r="B170" s="53" t="s">
        <v>112</v>
      </c>
      <c r="C170" s="53" t="s">
        <v>222</v>
      </c>
      <c r="D170" s="53" t="s">
        <v>309</v>
      </c>
      <c r="E170" s="53" t="s">
        <v>1053</v>
      </c>
      <c r="F170" s="53"/>
      <c r="G170" s="53"/>
      <c r="H170" s="53"/>
      <c r="I170" s="53"/>
    </row>
    <row r="171" spans="1:9" s="54" customFormat="1" ht="18" customHeight="1">
      <c r="A171" s="52">
        <v>172</v>
      </c>
      <c r="B171" s="53" t="s">
        <v>112</v>
      </c>
      <c r="C171" s="53" t="s">
        <v>155</v>
      </c>
      <c r="D171" s="53" t="s">
        <v>310</v>
      </c>
      <c r="E171" s="53"/>
      <c r="F171" s="53"/>
      <c r="G171" s="53" t="s">
        <v>953</v>
      </c>
      <c r="H171" s="53" t="s">
        <v>531</v>
      </c>
      <c r="I171" s="53"/>
    </row>
    <row r="172" spans="1:9" s="54" customFormat="1" ht="18" customHeight="1">
      <c r="A172" s="52">
        <v>173</v>
      </c>
      <c r="B172" s="53" t="s">
        <v>112</v>
      </c>
      <c r="C172" s="53" t="s">
        <v>811</v>
      </c>
      <c r="D172" s="53" t="s">
        <v>812</v>
      </c>
      <c r="E172" s="53"/>
      <c r="F172" s="53"/>
      <c r="G172" s="53" t="s">
        <v>1068</v>
      </c>
      <c r="H172" s="53" t="s">
        <v>1112</v>
      </c>
      <c r="I172" s="53"/>
    </row>
    <row r="173" spans="1:9" s="54" customFormat="1" ht="18" customHeight="1">
      <c r="A173" s="52">
        <v>174</v>
      </c>
      <c r="B173" s="53" t="s">
        <v>112</v>
      </c>
      <c r="C173" s="53" t="s">
        <v>184</v>
      </c>
      <c r="D173" s="53" t="s">
        <v>16</v>
      </c>
      <c r="E173" s="53" t="s">
        <v>1036</v>
      </c>
      <c r="F173" s="53"/>
      <c r="G173" s="53" t="s">
        <v>527</v>
      </c>
      <c r="H173" s="53"/>
      <c r="I173" s="53"/>
    </row>
    <row r="174" spans="1:9" s="54" customFormat="1" ht="18" customHeight="1">
      <c r="A174" s="52">
        <v>175</v>
      </c>
      <c r="B174" s="53" t="s">
        <v>112</v>
      </c>
      <c r="C174" s="53" t="s">
        <v>815</v>
      </c>
      <c r="D174" s="53" t="s">
        <v>816</v>
      </c>
      <c r="E174" s="53"/>
      <c r="F174" s="53"/>
      <c r="G174" s="53"/>
      <c r="H174" s="53"/>
      <c r="I174" s="53"/>
    </row>
    <row r="175" spans="1:9" s="54" customFormat="1" ht="18" customHeight="1">
      <c r="A175" s="52">
        <v>176</v>
      </c>
      <c r="B175" s="53" t="s">
        <v>112</v>
      </c>
      <c r="C175" s="53" t="s">
        <v>115</v>
      </c>
      <c r="D175" s="53" t="s">
        <v>223</v>
      </c>
      <c r="E175" s="53" t="s">
        <v>1037</v>
      </c>
      <c r="F175" s="53" t="s">
        <v>1038</v>
      </c>
      <c r="G175" s="53"/>
      <c r="H175" s="53"/>
      <c r="I175" s="53"/>
    </row>
    <row r="176" spans="1:9" s="54" customFormat="1" ht="18" customHeight="1">
      <c r="A176" s="52">
        <v>177</v>
      </c>
      <c r="B176" s="53" t="s">
        <v>114</v>
      </c>
      <c r="C176" s="53" t="s">
        <v>819</v>
      </c>
      <c r="D176" s="53" t="s">
        <v>820</v>
      </c>
      <c r="E176" s="53"/>
      <c r="F176" s="53"/>
      <c r="G176" s="53" t="s">
        <v>1113</v>
      </c>
      <c r="H176" s="53" t="s">
        <v>531</v>
      </c>
      <c r="I176" s="53"/>
    </row>
    <row r="177" spans="1:9" s="54" customFormat="1" ht="18" customHeight="1">
      <c r="A177" s="52">
        <v>178</v>
      </c>
      <c r="B177" s="53" t="s">
        <v>114</v>
      </c>
      <c r="C177" s="53" t="s">
        <v>115</v>
      </c>
      <c r="D177" s="53" t="s">
        <v>822</v>
      </c>
      <c r="E177" s="53"/>
      <c r="F177" s="53"/>
      <c r="G177" s="53"/>
      <c r="H177" s="53" t="s">
        <v>1114</v>
      </c>
      <c r="I177" s="53"/>
    </row>
    <row r="178" spans="1:9" s="54" customFormat="1" ht="18" customHeight="1">
      <c r="A178" s="52">
        <v>179</v>
      </c>
      <c r="B178" s="53" t="s">
        <v>116</v>
      </c>
      <c r="C178" s="53" t="s">
        <v>824</v>
      </c>
      <c r="D178" s="53" t="s">
        <v>825</v>
      </c>
      <c r="E178" s="53"/>
      <c r="F178" s="53"/>
      <c r="G178" s="53"/>
      <c r="H178" s="53" t="s">
        <v>1115</v>
      </c>
      <c r="I178" s="53"/>
    </row>
    <row r="179" spans="1:9" s="54" customFormat="1" ht="18" customHeight="1">
      <c r="A179" s="52">
        <v>180</v>
      </c>
      <c r="B179" s="53" t="s">
        <v>116</v>
      </c>
      <c r="C179" s="53" t="s">
        <v>226</v>
      </c>
      <c r="D179" s="53" t="s">
        <v>89</v>
      </c>
      <c r="E179" s="53"/>
      <c r="F179" s="53"/>
      <c r="G179" s="53" t="s">
        <v>573</v>
      </c>
      <c r="H179" s="53"/>
      <c r="I179" s="53"/>
    </row>
    <row r="180" spans="1:9" s="54" customFormat="1" ht="18" customHeight="1">
      <c r="A180" s="52">
        <v>181</v>
      </c>
      <c r="B180" s="53" t="s">
        <v>118</v>
      </c>
      <c r="C180" s="53" t="s">
        <v>75</v>
      </c>
      <c r="D180" s="53" t="s">
        <v>16</v>
      </c>
      <c r="E180" s="53"/>
      <c r="F180" s="53" t="s">
        <v>1056</v>
      </c>
      <c r="G180" s="53" t="s">
        <v>945</v>
      </c>
      <c r="H180" s="53"/>
      <c r="I180" s="53"/>
    </row>
    <row r="181" spans="1:9" s="54" customFormat="1" ht="18" customHeight="1">
      <c r="A181" s="52">
        <v>182</v>
      </c>
      <c r="B181" s="53" t="s">
        <v>118</v>
      </c>
      <c r="C181" s="53" t="s">
        <v>155</v>
      </c>
      <c r="D181" s="53" t="s">
        <v>827</v>
      </c>
      <c r="E181" s="53" t="s">
        <v>1053</v>
      </c>
      <c r="F181" s="53"/>
      <c r="G181" s="53"/>
      <c r="H181" s="53"/>
      <c r="I181" s="53"/>
    </row>
    <row r="182" spans="1:9" s="54" customFormat="1" ht="18" customHeight="1">
      <c r="A182" s="52">
        <v>183</v>
      </c>
      <c r="B182" s="53" t="s">
        <v>119</v>
      </c>
      <c r="C182" s="53" t="s">
        <v>12</v>
      </c>
      <c r="D182" s="53" t="s">
        <v>61</v>
      </c>
      <c r="E182" s="53"/>
      <c r="F182" s="53"/>
      <c r="G182" s="53" t="s">
        <v>1116</v>
      </c>
      <c r="H182" s="53" t="s">
        <v>559</v>
      </c>
      <c r="I182" s="53"/>
    </row>
    <row r="183" spans="1:9" s="54" customFormat="1" ht="18" customHeight="1">
      <c r="A183" s="52">
        <v>184</v>
      </c>
      <c r="B183" s="53" t="s">
        <v>119</v>
      </c>
      <c r="C183" s="53" t="s">
        <v>121</v>
      </c>
      <c r="D183" s="53" t="s">
        <v>122</v>
      </c>
      <c r="E183" s="53"/>
      <c r="F183" s="53"/>
      <c r="G183" s="53"/>
      <c r="H183" s="53"/>
      <c r="I183" s="53"/>
    </row>
    <row r="184" spans="1:9" s="54" customFormat="1" ht="18" customHeight="1">
      <c r="A184" s="52">
        <v>185</v>
      </c>
      <c r="B184" s="53" t="s">
        <v>123</v>
      </c>
      <c r="C184" s="53" t="s">
        <v>124</v>
      </c>
      <c r="D184" s="53" t="s">
        <v>100</v>
      </c>
      <c r="E184" s="53" t="s">
        <v>1053</v>
      </c>
      <c r="F184" s="53"/>
      <c r="G184" s="53"/>
      <c r="H184" s="53"/>
      <c r="I184" s="53"/>
    </row>
    <row r="185" spans="1:9" s="54" customFormat="1" ht="18" customHeight="1">
      <c r="A185" s="52">
        <v>186</v>
      </c>
      <c r="B185" s="53" t="s">
        <v>123</v>
      </c>
      <c r="C185" s="53" t="s">
        <v>125</v>
      </c>
      <c r="D185" s="53" t="s">
        <v>312</v>
      </c>
      <c r="E185" s="53" t="s">
        <v>1052</v>
      </c>
      <c r="F185" s="53"/>
      <c r="G185" s="53" t="s">
        <v>7</v>
      </c>
      <c r="H185" s="53" t="s">
        <v>7</v>
      </c>
      <c r="I185" s="53"/>
    </row>
    <row r="186" spans="1:9" s="54" customFormat="1" ht="18" customHeight="1">
      <c r="A186" s="52">
        <v>187</v>
      </c>
      <c r="B186" s="53" t="s">
        <v>123</v>
      </c>
      <c r="C186" s="53" t="s">
        <v>313</v>
      </c>
      <c r="D186" s="53" t="s">
        <v>314</v>
      </c>
      <c r="E186" s="53"/>
      <c r="F186" s="53"/>
      <c r="G186" s="53" t="s">
        <v>947</v>
      </c>
      <c r="H186" s="53" t="s">
        <v>1116</v>
      </c>
      <c r="I186" s="53"/>
    </row>
    <row r="187" spans="1:9" s="54" customFormat="1" ht="18" customHeight="1">
      <c r="A187" s="52">
        <v>188</v>
      </c>
      <c r="B187" s="53" t="s">
        <v>123</v>
      </c>
      <c r="C187" s="53" t="s">
        <v>315</v>
      </c>
      <c r="D187" s="53" t="s">
        <v>18</v>
      </c>
      <c r="E187" s="53" t="s">
        <v>1037</v>
      </c>
      <c r="F187" s="53" t="s">
        <v>1038</v>
      </c>
      <c r="G187" s="53"/>
      <c r="H187" s="53"/>
      <c r="I187" s="53"/>
    </row>
    <row r="188" spans="1:9" s="54" customFormat="1" ht="18" customHeight="1">
      <c r="A188" s="52">
        <v>189</v>
      </c>
      <c r="B188" s="53" t="s">
        <v>123</v>
      </c>
      <c r="C188" s="53" t="s">
        <v>225</v>
      </c>
      <c r="D188" s="53" t="s">
        <v>46</v>
      </c>
      <c r="E188" s="53"/>
      <c r="F188" s="53"/>
      <c r="G188" s="53"/>
      <c r="H188" s="53" t="s">
        <v>1117</v>
      </c>
      <c r="I188" s="53"/>
    </row>
    <row r="189" spans="1:9" s="54" customFormat="1" ht="18" customHeight="1">
      <c r="A189" s="52">
        <v>190</v>
      </c>
      <c r="B189" s="53" t="s">
        <v>123</v>
      </c>
      <c r="C189" s="53" t="s">
        <v>126</v>
      </c>
      <c r="D189" s="53" t="s">
        <v>127</v>
      </c>
      <c r="E189" s="53"/>
      <c r="F189" s="53"/>
      <c r="G189" s="53"/>
      <c r="H189" s="53"/>
      <c r="I189" s="53"/>
    </row>
    <row r="190" spans="1:9" s="54" customFormat="1" ht="18" customHeight="1">
      <c r="A190" s="52">
        <v>191</v>
      </c>
      <c r="B190" s="53" t="s">
        <v>128</v>
      </c>
      <c r="C190" s="53" t="s">
        <v>197</v>
      </c>
      <c r="D190" s="53" t="s">
        <v>160</v>
      </c>
      <c r="E190" s="53" t="s">
        <v>1036</v>
      </c>
      <c r="F190" s="53"/>
      <c r="G190" s="53"/>
      <c r="H190" s="53"/>
      <c r="I190" s="53"/>
    </row>
    <row r="191" spans="1:9" s="54" customFormat="1" ht="18" customHeight="1">
      <c r="A191" s="52">
        <v>192</v>
      </c>
      <c r="B191" s="53" t="s">
        <v>129</v>
      </c>
      <c r="C191" s="53" t="s">
        <v>316</v>
      </c>
      <c r="D191" s="53" t="s">
        <v>317</v>
      </c>
      <c r="E191" s="53" t="s">
        <v>1036</v>
      </c>
      <c r="F191" s="53"/>
      <c r="G191" s="53" t="s">
        <v>1118</v>
      </c>
      <c r="H191" s="53"/>
      <c r="I191" s="53"/>
    </row>
    <row r="192" spans="1:9" s="54" customFormat="1" ht="18" customHeight="1">
      <c r="A192" s="52">
        <v>193</v>
      </c>
      <c r="B192" s="53" t="s">
        <v>130</v>
      </c>
      <c r="C192" s="53" t="s">
        <v>829</v>
      </c>
      <c r="D192" s="53" t="s">
        <v>100</v>
      </c>
      <c r="E192" s="53"/>
      <c r="F192" s="53"/>
      <c r="G192" s="53"/>
      <c r="H192" s="53" t="s">
        <v>579</v>
      </c>
      <c r="I192" s="53"/>
    </row>
    <row r="193" spans="1:9" s="54" customFormat="1" ht="18" customHeight="1">
      <c r="A193" s="52">
        <v>194</v>
      </c>
      <c r="B193" s="53" t="s">
        <v>132</v>
      </c>
      <c r="C193" s="53" t="s">
        <v>831</v>
      </c>
      <c r="D193" s="53" t="s">
        <v>832</v>
      </c>
      <c r="E193" s="53"/>
      <c r="F193" s="53"/>
      <c r="G193" s="53" t="s">
        <v>5</v>
      </c>
      <c r="H193" s="53" t="s">
        <v>1119</v>
      </c>
      <c r="I193" s="53"/>
    </row>
    <row r="194" spans="1:9" s="54" customFormat="1" ht="18" customHeight="1">
      <c r="A194" s="52">
        <v>195</v>
      </c>
      <c r="B194" s="53" t="s">
        <v>132</v>
      </c>
      <c r="C194" s="53" t="s">
        <v>318</v>
      </c>
      <c r="D194" s="53" t="s">
        <v>319</v>
      </c>
      <c r="E194" s="53"/>
      <c r="F194" s="53"/>
      <c r="G194" s="53"/>
      <c r="H194" s="53" t="s">
        <v>6</v>
      </c>
      <c r="I194" s="53"/>
    </row>
    <row r="195" spans="1:9" s="54" customFormat="1" ht="18" customHeight="1">
      <c r="A195" s="52">
        <v>196</v>
      </c>
      <c r="B195" s="53" t="s">
        <v>133</v>
      </c>
      <c r="C195" s="53" t="s">
        <v>192</v>
      </c>
      <c r="D195" s="53" t="s">
        <v>311</v>
      </c>
      <c r="E195" s="53"/>
      <c r="F195" s="53"/>
      <c r="G195" s="53" t="s">
        <v>946</v>
      </c>
      <c r="H195" s="53" t="s">
        <v>1120</v>
      </c>
      <c r="I195" s="53"/>
    </row>
    <row r="196" spans="1:9" s="54" customFormat="1" ht="18" customHeight="1">
      <c r="A196" s="52">
        <v>197</v>
      </c>
      <c r="B196" s="53" t="s">
        <v>133</v>
      </c>
      <c r="C196" s="53" t="s">
        <v>134</v>
      </c>
      <c r="D196" s="53" t="s">
        <v>135</v>
      </c>
      <c r="E196" s="53"/>
      <c r="F196" s="53"/>
      <c r="G196" s="53"/>
      <c r="H196" s="53" t="s">
        <v>1051</v>
      </c>
      <c r="I196" s="53"/>
    </row>
    <row r="197" spans="1:9" s="54" customFormat="1" ht="18" customHeight="1">
      <c r="A197" s="52">
        <v>198</v>
      </c>
      <c r="B197" s="53" t="s">
        <v>133</v>
      </c>
      <c r="C197" s="53" t="s">
        <v>321</v>
      </c>
      <c r="D197" s="53" t="s">
        <v>322</v>
      </c>
      <c r="E197" s="53"/>
      <c r="F197" s="53"/>
      <c r="G197" s="53" t="s">
        <v>1121</v>
      </c>
      <c r="H197" s="53"/>
      <c r="I197" s="53"/>
    </row>
    <row r="198" spans="1:9" s="54" customFormat="1" ht="18" customHeight="1">
      <c r="A198" s="52">
        <v>199</v>
      </c>
      <c r="B198" s="53" t="s">
        <v>133</v>
      </c>
      <c r="C198" s="53" t="s">
        <v>226</v>
      </c>
      <c r="D198" s="53" t="s">
        <v>227</v>
      </c>
      <c r="E198" s="53"/>
      <c r="F198" s="53" t="s">
        <v>1048</v>
      </c>
      <c r="G198" s="53" t="s">
        <v>580</v>
      </c>
      <c r="H198" s="53" t="s">
        <v>1054</v>
      </c>
      <c r="I198" s="53"/>
    </row>
    <row r="199" spans="1:9" s="54" customFormat="1" ht="18" customHeight="1">
      <c r="A199" s="52">
        <v>200</v>
      </c>
      <c r="B199" s="53" t="s">
        <v>133</v>
      </c>
      <c r="C199" s="53" t="s">
        <v>323</v>
      </c>
      <c r="D199" s="53" t="s">
        <v>33</v>
      </c>
      <c r="E199" s="53"/>
      <c r="F199" s="53"/>
      <c r="G199" s="53"/>
      <c r="H199" s="53"/>
      <c r="I199" s="53"/>
    </row>
    <row r="200" spans="1:9" s="54" customFormat="1" ht="18" customHeight="1">
      <c r="A200" s="52">
        <v>201</v>
      </c>
      <c r="B200" s="53" t="s">
        <v>133</v>
      </c>
      <c r="C200" s="53" t="s">
        <v>56</v>
      </c>
      <c r="D200" s="53" t="s">
        <v>324</v>
      </c>
      <c r="E200" s="53"/>
      <c r="F200" s="53"/>
      <c r="G200" s="53"/>
      <c r="H200" s="53" t="s">
        <v>2</v>
      </c>
      <c r="I200" s="53"/>
    </row>
    <row r="201" spans="1:9" s="54" customFormat="1" ht="18" customHeight="1">
      <c r="A201" s="52">
        <v>202</v>
      </c>
      <c r="B201" s="53" t="s">
        <v>133</v>
      </c>
      <c r="C201" s="53" t="s">
        <v>834</v>
      </c>
      <c r="D201" s="53" t="s">
        <v>262</v>
      </c>
      <c r="E201" s="53"/>
      <c r="F201" s="53" t="s">
        <v>1056</v>
      </c>
      <c r="G201" s="53" t="s">
        <v>545</v>
      </c>
      <c r="H201" s="53" t="s">
        <v>558</v>
      </c>
      <c r="I201" s="53"/>
    </row>
    <row r="202" spans="1:9" s="54" customFormat="1" ht="18" customHeight="1">
      <c r="A202" s="52">
        <v>203</v>
      </c>
      <c r="B202" s="53" t="s">
        <v>136</v>
      </c>
      <c r="C202" s="53" t="s">
        <v>325</v>
      </c>
      <c r="D202" s="53" t="s">
        <v>131</v>
      </c>
      <c r="E202" s="53"/>
      <c r="F202" s="53"/>
      <c r="G202" s="53"/>
      <c r="H202" s="53"/>
      <c r="I202" s="53"/>
    </row>
    <row r="203" spans="1:9" s="54" customFormat="1" ht="18" customHeight="1">
      <c r="A203" s="52">
        <v>204</v>
      </c>
      <c r="B203" s="53" t="s">
        <v>136</v>
      </c>
      <c r="C203" s="53" t="s">
        <v>232</v>
      </c>
      <c r="D203" s="53" t="s">
        <v>273</v>
      </c>
      <c r="E203" s="53" t="s">
        <v>1053</v>
      </c>
      <c r="F203" s="53"/>
      <c r="G203" s="53"/>
      <c r="H203" s="53"/>
      <c r="I203" s="53"/>
    </row>
    <row r="204" spans="1:9" s="54" customFormat="1" ht="18" customHeight="1">
      <c r="A204" s="52">
        <v>205</v>
      </c>
      <c r="B204" s="53" t="s">
        <v>136</v>
      </c>
      <c r="C204" s="53" t="s">
        <v>326</v>
      </c>
      <c r="D204" s="53" t="s">
        <v>327</v>
      </c>
      <c r="E204" s="53"/>
      <c r="F204" s="53"/>
      <c r="G204" s="53"/>
      <c r="H204" s="53"/>
      <c r="I204" s="53"/>
    </row>
    <row r="205" spans="1:9" s="54" customFormat="1" ht="18" customHeight="1">
      <c r="A205" s="52">
        <v>206</v>
      </c>
      <c r="B205" s="53" t="s">
        <v>136</v>
      </c>
      <c r="C205" s="53" t="s">
        <v>43</v>
      </c>
      <c r="D205" s="53" t="s">
        <v>99</v>
      </c>
      <c r="E205" s="53"/>
      <c r="F205" s="53"/>
      <c r="G205" s="53" t="s">
        <v>9</v>
      </c>
      <c r="H205" s="53" t="s">
        <v>1066</v>
      </c>
      <c r="I205" s="53"/>
    </row>
    <row r="206" spans="1:9" s="54" customFormat="1" ht="18" customHeight="1">
      <c r="A206" s="52">
        <v>207</v>
      </c>
      <c r="B206" s="53" t="s">
        <v>136</v>
      </c>
      <c r="C206" s="53" t="s">
        <v>328</v>
      </c>
      <c r="D206" s="53" t="s">
        <v>20</v>
      </c>
      <c r="E206" s="53"/>
      <c r="F206" s="53"/>
      <c r="G206" s="53" t="s">
        <v>1122</v>
      </c>
      <c r="H206" s="53"/>
      <c r="I206" s="53"/>
    </row>
    <row r="207" spans="1:9" s="54" customFormat="1" ht="18" customHeight="1">
      <c r="A207" s="52">
        <v>208</v>
      </c>
      <c r="B207" s="53" t="s">
        <v>136</v>
      </c>
      <c r="C207" s="53" t="s">
        <v>838</v>
      </c>
      <c r="D207" s="53" t="s">
        <v>839</v>
      </c>
      <c r="E207" s="53"/>
      <c r="F207" s="53"/>
      <c r="G207" s="53"/>
      <c r="H207" s="53" t="s">
        <v>554</v>
      </c>
      <c r="I207" s="53"/>
    </row>
    <row r="208" spans="1:9" s="54" customFormat="1" ht="18" customHeight="1">
      <c r="A208" s="52">
        <v>209</v>
      </c>
      <c r="B208" s="53" t="s">
        <v>136</v>
      </c>
      <c r="C208" s="53" t="s">
        <v>184</v>
      </c>
      <c r="D208" s="53" t="s">
        <v>329</v>
      </c>
      <c r="E208" s="53"/>
      <c r="F208" s="53"/>
      <c r="G208" s="53" t="s">
        <v>1123</v>
      </c>
      <c r="H208" s="53"/>
      <c r="I208" s="53"/>
    </row>
    <row r="209" spans="1:9" s="54" customFormat="1" ht="18" customHeight="1">
      <c r="A209" s="52">
        <v>210</v>
      </c>
      <c r="B209" s="53" t="s">
        <v>136</v>
      </c>
      <c r="C209" s="53" t="s">
        <v>841</v>
      </c>
      <c r="D209" s="53" t="s">
        <v>842</v>
      </c>
      <c r="E209" s="53"/>
      <c r="F209" s="53"/>
      <c r="G209" s="53" t="s">
        <v>2</v>
      </c>
      <c r="H209" s="53"/>
      <c r="I209" s="53"/>
    </row>
    <row r="210" spans="1:9" s="54" customFormat="1" ht="18" customHeight="1">
      <c r="A210" s="52">
        <v>211</v>
      </c>
      <c r="B210" s="53" t="s">
        <v>136</v>
      </c>
      <c r="C210" s="53" t="s">
        <v>330</v>
      </c>
      <c r="D210" s="53" t="s">
        <v>16</v>
      </c>
      <c r="E210" s="53"/>
      <c r="F210" s="53" t="s">
        <v>1056</v>
      </c>
      <c r="G210" s="53" t="s">
        <v>554</v>
      </c>
      <c r="H210" s="53"/>
      <c r="I210" s="53"/>
    </row>
    <row r="211" spans="1:9" s="54" customFormat="1" ht="18" customHeight="1">
      <c r="A211" s="52">
        <v>212</v>
      </c>
      <c r="B211" s="53" t="s">
        <v>136</v>
      </c>
      <c r="C211" s="53" t="s">
        <v>331</v>
      </c>
      <c r="D211" s="53" t="s">
        <v>332</v>
      </c>
      <c r="E211" s="53" t="s">
        <v>1037</v>
      </c>
      <c r="F211" s="53" t="s">
        <v>1038</v>
      </c>
      <c r="G211" s="53" t="s">
        <v>539</v>
      </c>
      <c r="H211" s="53"/>
      <c r="I211" s="53"/>
    </row>
    <row r="212" spans="1:9" s="54" customFormat="1" ht="18" customHeight="1">
      <c r="A212" s="52">
        <v>213</v>
      </c>
      <c r="B212" s="53" t="s">
        <v>138</v>
      </c>
      <c r="C212" s="53" t="s">
        <v>844</v>
      </c>
      <c r="D212" s="53" t="s">
        <v>340</v>
      </c>
      <c r="E212" s="53"/>
      <c r="F212" s="53"/>
      <c r="G212" s="53" t="s">
        <v>1039</v>
      </c>
      <c r="H212" s="53" t="s">
        <v>956</v>
      </c>
      <c r="I212" s="53"/>
    </row>
    <row r="213" spans="1:9" s="54" customFormat="1" ht="18" customHeight="1">
      <c r="A213" s="52">
        <v>214</v>
      </c>
      <c r="B213" s="53" t="s">
        <v>138</v>
      </c>
      <c r="C213" s="53" t="s">
        <v>333</v>
      </c>
      <c r="D213" s="53" t="s">
        <v>334</v>
      </c>
      <c r="E213" s="53" t="s">
        <v>1069</v>
      </c>
      <c r="F213" s="53"/>
      <c r="G213" s="53" t="s">
        <v>1124</v>
      </c>
      <c r="H213" s="53"/>
      <c r="I213" s="53"/>
    </row>
    <row r="214" spans="1:9" s="54" customFormat="1" ht="18" customHeight="1">
      <c r="A214" s="52">
        <v>215</v>
      </c>
      <c r="B214" s="53" t="s">
        <v>138</v>
      </c>
      <c r="C214" s="53" t="s">
        <v>335</v>
      </c>
      <c r="D214" s="53" t="s">
        <v>16</v>
      </c>
      <c r="E214" s="53"/>
      <c r="F214" s="53" t="s">
        <v>1056</v>
      </c>
      <c r="G214" s="53" t="s">
        <v>536</v>
      </c>
      <c r="H214" s="53" t="s">
        <v>1125</v>
      </c>
      <c r="I214" s="53"/>
    </row>
    <row r="215" spans="1:9" s="54" customFormat="1" ht="18" customHeight="1">
      <c r="A215" s="52">
        <v>216</v>
      </c>
      <c r="B215" s="53" t="s">
        <v>140</v>
      </c>
      <c r="C215" s="53" t="s">
        <v>192</v>
      </c>
      <c r="D215" s="53" t="s">
        <v>16</v>
      </c>
      <c r="E215" s="53"/>
      <c r="F215" s="53"/>
      <c r="G215" s="53"/>
      <c r="H215" s="53"/>
      <c r="I215" s="53"/>
    </row>
    <row r="216" spans="1:9" s="54" customFormat="1" ht="18" customHeight="1">
      <c r="A216" s="52">
        <v>217</v>
      </c>
      <c r="B216" s="53" t="s">
        <v>140</v>
      </c>
      <c r="C216" s="53" t="s">
        <v>141</v>
      </c>
      <c r="D216" s="53" t="s">
        <v>142</v>
      </c>
      <c r="E216" s="53"/>
      <c r="F216" s="53" t="s">
        <v>1056</v>
      </c>
      <c r="G216" s="53"/>
      <c r="H216" s="53"/>
      <c r="I216" s="53"/>
    </row>
    <row r="217" spans="1:9" s="54" customFormat="1" ht="18" customHeight="1">
      <c r="A217" s="52">
        <v>218</v>
      </c>
      <c r="B217" s="53" t="s">
        <v>140</v>
      </c>
      <c r="C217" s="53" t="s">
        <v>847</v>
      </c>
      <c r="D217" s="53" t="s">
        <v>189</v>
      </c>
      <c r="E217" s="53"/>
      <c r="F217" s="53"/>
      <c r="G217" s="53"/>
      <c r="H217" s="53" t="s">
        <v>1126</v>
      </c>
      <c r="I217" s="53"/>
    </row>
    <row r="218" spans="1:9" s="54" customFormat="1" ht="18" customHeight="1">
      <c r="A218" s="52">
        <v>219</v>
      </c>
      <c r="B218" s="53" t="s">
        <v>140</v>
      </c>
      <c r="C218" s="53" t="s">
        <v>336</v>
      </c>
      <c r="D218" s="53" t="s">
        <v>34</v>
      </c>
      <c r="E218" s="53"/>
      <c r="F218" s="53" t="s">
        <v>1056</v>
      </c>
      <c r="G218" s="53" t="s">
        <v>952</v>
      </c>
      <c r="H218" s="53" t="s">
        <v>1051</v>
      </c>
      <c r="I218" s="53"/>
    </row>
    <row r="219" spans="1:9" s="54" customFormat="1" ht="18" customHeight="1">
      <c r="A219" s="52">
        <v>220</v>
      </c>
      <c r="B219" s="53" t="s">
        <v>143</v>
      </c>
      <c r="C219" s="53" t="s">
        <v>24</v>
      </c>
      <c r="D219" s="53" t="s">
        <v>229</v>
      </c>
      <c r="E219" s="53"/>
      <c r="F219" s="53"/>
      <c r="G219" s="53"/>
      <c r="H219" s="53"/>
      <c r="I219" s="53"/>
    </row>
    <row r="220" spans="1:9" s="54" customFormat="1" ht="18" customHeight="1">
      <c r="A220" s="52">
        <v>221</v>
      </c>
      <c r="B220" s="53" t="s">
        <v>143</v>
      </c>
      <c r="C220" s="53" t="s">
        <v>337</v>
      </c>
      <c r="D220" s="53" t="s">
        <v>72</v>
      </c>
      <c r="E220" s="53"/>
      <c r="F220" s="53" t="s">
        <v>1056</v>
      </c>
      <c r="G220" s="53"/>
      <c r="H220" s="53"/>
      <c r="I220" s="53"/>
    </row>
    <row r="221" spans="1:9" s="54" customFormat="1" ht="18" customHeight="1">
      <c r="A221" s="52">
        <v>222</v>
      </c>
      <c r="B221" s="53" t="s">
        <v>143</v>
      </c>
      <c r="C221" s="53" t="s">
        <v>338</v>
      </c>
      <c r="D221" s="53" t="s">
        <v>46</v>
      </c>
      <c r="E221" s="53" t="s">
        <v>1036</v>
      </c>
      <c r="F221" s="53"/>
      <c r="G221" s="53"/>
      <c r="H221" s="53"/>
      <c r="I221" s="53"/>
    </row>
    <row r="222" spans="1:9" s="54" customFormat="1" ht="18" customHeight="1">
      <c r="A222" s="52">
        <v>223</v>
      </c>
      <c r="B222" s="53" t="s">
        <v>143</v>
      </c>
      <c r="C222" s="53" t="s">
        <v>849</v>
      </c>
      <c r="D222" s="53" t="s">
        <v>850</v>
      </c>
      <c r="E222" s="53"/>
      <c r="F222" s="53"/>
      <c r="G222" s="53"/>
      <c r="H222" s="53" t="s">
        <v>952</v>
      </c>
      <c r="I222" s="53"/>
    </row>
    <row r="223" spans="1:9" s="54" customFormat="1" ht="18" customHeight="1">
      <c r="A223" s="52">
        <v>224</v>
      </c>
      <c r="B223" s="53" t="s">
        <v>143</v>
      </c>
      <c r="C223" s="53" t="s">
        <v>266</v>
      </c>
      <c r="D223" s="53" t="s">
        <v>40</v>
      </c>
      <c r="E223" s="53"/>
      <c r="F223" s="53"/>
      <c r="G223" s="53"/>
      <c r="H223" s="53"/>
      <c r="I223" s="53"/>
    </row>
    <row r="224" spans="1:9" s="54" customFormat="1" ht="18" customHeight="1">
      <c r="A224" s="52">
        <v>225</v>
      </c>
      <c r="B224" s="53" t="s">
        <v>144</v>
      </c>
      <c r="C224" s="53" t="s">
        <v>853</v>
      </c>
      <c r="D224" s="53" t="s">
        <v>193</v>
      </c>
      <c r="E224" s="53"/>
      <c r="F224" s="53"/>
      <c r="G224" s="53"/>
      <c r="H224" s="53" t="s">
        <v>939</v>
      </c>
      <c r="I224" s="53"/>
    </row>
    <row r="225" spans="1:9" s="54" customFormat="1" ht="18" customHeight="1">
      <c r="A225" s="52">
        <v>226</v>
      </c>
      <c r="B225" s="53" t="s">
        <v>144</v>
      </c>
      <c r="C225" s="53" t="s">
        <v>855</v>
      </c>
      <c r="D225" s="53" t="s">
        <v>856</v>
      </c>
      <c r="E225" s="53" t="s">
        <v>1069</v>
      </c>
      <c r="F225" s="53"/>
      <c r="G225" s="53" t="s">
        <v>1127</v>
      </c>
      <c r="H225" s="53"/>
      <c r="I225" s="53"/>
    </row>
    <row r="226" spans="1:9" s="54" customFormat="1" ht="18" customHeight="1">
      <c r="A226" s="52">
        <v>228</v>
      </c>
      <c r="B226" s="53" t="s">
        <v>146</v>
      </c>
      <c r="C226" s="53" t="s">
        <v>859</v>
      </c>
      <c r="D226" s="53" t="s">
        <v>647</v>
      </c>
      <c r="E226" s="53" t="s">
        <v>1093</v>
      </c>
      <c r="F226" s="53"/>
      <c r="G226" s="53" t="s">
        <v>10</v>
      </c>
      <c r="H226" s="53" t="s">
        <v>526</v>
      </c>
      <c r="I226" s="53"/>
    </row>
    <row r="227" spans="1:9" s="54" customFormat="1" ht="18" customHeight="1">
      <c r="A227" s="52">
        <v>229</v>
      </c>
      <c r="B227" s="53" t="s">
        <v>146</v>
      </c>
      <c r="C227" s="53" t="s">
        <v>266</v>
      </c>
      <c r="D227" s="53" t="s">
        <v>341</v>
      </c>
      <c r="E227" s="53"/>
      <c r="F227" s="53"/>
      <c r="G227" s="53" t="s">
        <v>1128</v>
      </c>
      <c r="H227" s="53" t="s">
        <v>1129</v>
      </c>
      <c r="I227" s="53"/>
    </row>
    <row r="228" spans="1:9" s="54" customFormat="1" ht="18" customHeight="1">
      <c r="A228" s="52">
        <v>230</v>
      </c>
      <c r="B228" s="53" t="s">
        <v>146</v>
      </c>
      <c r="C228" s="53" t="s">
        <v>342</v>
      </c>
      <c r="D228" s="53" t="s">
        <v>343</v>
      </c>
      <c r="E228" s="53"/>
      <c r="F228" s="53"/>
      <c r="G228" s="53" t="s">
        <v>937</v>
      </c>
      <c r="H228" s="53" t="s">
        <v>1059</v>
      </c>
      <c r="I228" s="53"/>
    </row>
    <row r="229" spans="1:9" s="54" customFormat="1" ht="18" customHeight="1">
      <c r="A229" s="52">
        <v>231</v>
      </c>
      <c r="B229" s="53" t="s">
        <v>147</v>
      </c>
      <c r="C229" s="53" t="s">
        <v>145</v>
      </c>
      <c r="D229" s="53" t="s">
        <v>861</v>
      </c>
      <c r="E229" s="53"/>
      <c r="F229" s="53"/>
      <c r="G229" s="53" t="s">
        <v>945</v>
      </c>
      <c r="H229" s="53" t="s">
        <v>1130</v>
      </c>
      <c r="I229" s="53"/>
    </row>
    <row r="230" spans="1:9" s="54" customFormat="1" ht="18" customHeight="1">
      <c r="A230" s="52">
        <v>232</v>
      </c>
      <c r="B230" s="53" t="s">
        <v>147</v>
      </c>
      <c r="C230" s="53" t="s">
        <v>863</v>
      </c>
      <c r="D230" s="53" t="s">
        <v>864</v>
      </c>
      <c r="E230" s="53"/>
      <c r="F230" s="53"/>
      <c r="G230" s="53" t="s">
        <v>3</v>
      </c>
      <c r="H230" s="53" t="s">
        <v>1097</v>
      </c>
      <c r="I230" s="53"/>
    </row>
    <row r="231" spans="1:9" s="54" customFormat="1" ht="18" customHeight="1">
      <c r="A231" s="52">
        <v>233</v>
      </c>
      <c r="B231" s="53" t="s">
        <v>148</v>
      </c>
      <c r="C231" s="53" t="s">
        <v>94</v>
      </c>
      <c r="D231" s="53" t="s">
        <v>51</v>
      </c>
      <c r="E231" s="53"/>
      <c r="F231" s="53"/>
      <c r="G231" s="53" t="s">
        <v>553</v>
      </c>
      <c r="H231" s="53" t="s">
        <v>583</v>
      </c>
      <c r="I231" s="53"/>
    </row>
    <row r="232" spans="1:9" s="54" customFormat="1" ht="18" customHeight="1">
      <c r="A232" s="52">
        <v>234</v>
      </c>
      <c r="B232" s="53" t="s">
        <v>149</v>
      </c>
      <c r="C232" s="53" t="s">
        <v>27</v>
      </c>
      <c r="D232" s="53" t="s">
        <v>100</v>
      </c>
      <c r="E232" s="53" t="s">
        <v>1069</v>
      </c>
      <c r="F232" s="53"/>
      <c r="G232" s="53" t="s">
        <v>574</v>
      </c>
      <c r="H232" s="53" t="s">
        <v>1131</v>
      </c>
      <c r="I232" s="53"/>
    </row>
    <row r="233" spans="1:9" s="54" customFormat="1" ht="18" customHeight="1">
      <c r="A233" s="52">
        <v>235</v>
      </c>
      <c r="B233" s="53" t="s">
        <v>149</v>
      </c>
      <c r="C233" s="53" t="s">
        <v>866</v>
      </c>
      <c r="D233" s="53" t="s">
        <v>867</v>
      </c>
      <c r="E233" s="53"/>
      <c r="F233" s="53"/>
      <c r="G233" s="53"/>
      <c r="H233" s="53" t="s">
        <v>1082</v>
      </c>
      <c r="I233" s="53"/>
    </row>
    <row r="234" spans="1:9" s="54" customFormat="1" ht="18" customHeight="1">
      <c r="A234" s="52">
        <v>236</v>
      </c>
      <c r="B234" s="53" t="s">
        <v>150</v>
      </c>
      <c r="C234" s="53" t="s">
        <v>869</v>
      </c>
      <c r="D234" s="53" t="s">
        <v>667</v>
      </c>
      <c r="E234" s="53"/>
      <c r="F234" s="53"/>
      <c r="G234" s="53"/>
      <c r="H234" s="53"/>
      <c r="I234" s="53"/>
    </row>
    <row r="235" spans="1:9" s="54" customFormat="1" ht="18" customHeight="1">
      <c r="A235" s="52">
        <v>237</v>
      </c>
      <c r="B235" s="53" t="s">
        <v>150</v>
      </c>
      <c r="C235" s="53" t="s">
        <v>871</v>
      </c>
      <c r="D235" s="53" t="s">
        <v>359</v>
      </c>
      <c r="E235" s="53"/>
      <c r="F235" s="53"/>
      <c r="G235" s="53" t="s">
        <v>575</v>
      </c>
      <c r="H235" s="53" t="s">
        <v>1132</v>
      </c>
      <c r="I235" s="53"/>
    </row>
    <row r="236" spans="1:9" s="54" customFormat="1" ht="18" customHeight="1">
      <c r="A236" s="52">
        <v>238</v>
      </c>
      <c r="B236" s="53" t="s">
        <v>139</v>
      </c>
      <c r="C236" s="53" t="s">
        <v>249</v>
      </c>
      <c r="D236" s="53" t="s">
        <v>61</v>
      </c>
      <c r="E236" s="53" t="s">
        <v>1036</v>
      </c>
      <c r="F236" s="53"/>
      <c r="G236" s="53" t="s">
        <v>548</v>
      </c>
      <c r="H236" s="53" t="s">
        <v>1133</v>
      </c>
      <c r="I236" s="53"/>
    </row>
    <row r="237" spans="1:9" s="54" customFormat="1" ht="18" customHeight="1">
      <c r="A237" s="52">
        <v>239</v>
      </c>
      <c r="B237" s="53" t="s">
        <v>139</v>
      </c>
      <c r="C237" s="53" t="s">
        <v>346</v>
      </c>
      <c r="D237" s="53" t="s">
        <v>347</v>
      </c>
      <c r="E237" s="53"/>
      <c r="F237" s="53"/>
      <c r="G237" s="53" t="s">
        <v>583</v>
      </c>
      <c r="H237" s="53"/>
      <c r="I237" s="53"/>
    </row>
    <row r="238" spans="1:9" s="54" customFormat="1" ht="18" customHeight="1">
      <c r="A238" s="52">
        <v>240</v>
      </c>
      <c r="B238" s="53" t="s">
        <v>139</v>
      </c>
      <c r="C238" s="53" t="s">
        <v>873</v>
      </c>
      <c r="D238" s="53" t="s">
        <v>874</v>
      </c>
      <c r="E238" s="53"/>
      <c r="F238" s="53"/>
      <c r="G238" s="53"/>
      <c r="H238" s="53"/>
      <c r="I238" s="53"/>
    </row>
    <row r="239" spans="1:9" s="54" customFormat="1" ht="18" customHeight="1">
      <c r="A239" s="52">
        <v>241</v>
      </c>
      <c r="B239" s="53" t="s">
        <v>151</v>
      </c>
      <c r="C239" s="53" t="s">
        <v>348</v>
      </c>
      <c r="D239" s="53" t="s">
        <v>349</v>
      </c>
      <c r="E239" s="53" t="s">
        <v>1036</v>
      </c>
      <c r="F239" s="53"/>
      <c r="G239" s="53" t="s">
        <v>529</v>
      </c>
      <c r="H239" s="53" t="s">
        <v>938</v>
      </c>
      <c r="I239" s="53"/>
    </row>
    <row r="240" spans="1:9" s="54" customFormat="1" ht="18" customHeight="1">
      <c r="A240" s="52">
        <v>242</v>
      </c>
      <c r="B240" s="53" t="s">
        <v>151</v>
      </c>
      <c r="C240" s="53" t="s">
        <v>25</v>
      </c>
      <c r="D240" s="53" t="s">
        <v>46</v>
      </c>
      <c r="E240" s="53"/>
      <c r="F240" s="53"/>
      <c r="G240" s="53" t="s">
        <v>939</v>
      </c>
      <c r="H240" s="53" t="s">
        <v>939</v>
      </c>
      <c r="I240" s="53"/>
    </row>
    <row r="241" spans="1:9" s="54" customFormat="1" ht="18" customHeight="1">
      <c r="A241" s="52">
        <v>243</v>
      </c>
      <c r="B241" s="53" t="s">
        <v>152</v>
      </c>
      <c r="C241" s="53" t="s">
        <v>195</v>
      </c>
      <c r="D241" s="53" t="s">
        <v>877</v>
      </c>
      <c r="E241" s="53"/>
      <c r="F241" s="53"/>
      <c r="G241" s="53"/>
      <c r="H241" s="53"/>
      <c r="I241" s="53"/>
    </row>
    <row r="242" spans="1:9" s="54" customFormat="1" ht="18" customHeight="1">
      <c r="A242" s="52">
        <v>244</v>
      </c>
      <c r="B242" s="53" t="s">
        <v>152</v>
      </c>
      <c r="C242" s="53" t="s">
        <v>203</v>
      </c>
      <c r="D242" s="53" t="s">
        <v>204</v>
      </c>
      <c r="E242" s="53" t="s">
        <v>1052</v>
      </c>
      <c r="F242" s="53"/>
      <c r="G242" s="53"/>
      <c r="H242" s="53"/>
      <c r="I242" s="53"/>
    </row>
    <row r="243" spans="1:9" s="54" customFormat="1" ht="18" customHeight="1">
      <c r="A243" s="52">
        <v>245</v>
      </c>
      <c r="B243" s="53" t="s">
        <v>152</v>
      </c>
      <c r="C243" s="53" t="s">
        <v>109</v>
      </c>
      <c r="D243" s="53" t="s">
        <v>110</v>
      </c>
      <c r="E243" s="53" t="s">
        <v>1037</v>
      </c>
      <c r="F243" s="53" t="s">
        <v>1038</v>
      </c>
      <c r="G243" s="53"/>
      <c r="H243" s="53"/>
      <c r="I243" s="53"/>
    </row>
    <row r="244" spans="1:9" s="54" customFormat="1" ht="18" customHeight="1">
      <c r="A244" s="52">
        <v>246</v>
      </c>
      <c r="B244" s="53" t="s">
        <v>153</v>
      </c>
      <c r="C244" s="53" t="s">
        <v>879</v>
      </c>
      <c r="D244" s="53" t="s">
        <v>353</v>
      </c>
      <c r="E244" s="53" t="s">
        <v>1036</v>
      </c>
      <c r="F244" s="53"/>
      <c r="G244" s="53"/>
      <c r="H244" s="53" t="s">
        <v>946</v>
      </c>
      <c r="I244" s="53"/>
    </row>
    <row r="245" spans="1:9" s="54" customFormat="1" ht="18" customHeight="1">
      <c r="A245" s="52">
        <v>247</v>
      </c>
      <c r="B245" s="53" t="s">
        <v>153</v>
      </c>
      <c r="C245" s="53" t="s">
        <v>881</v>
      </c>
      <c r="D245" s="53" t="s">
        <v>882</v>
      </c>
      <c r="E245" s="53"/>
      <c r="F245" s="53"/>
      <c r="G245" s="53" t="s">
        <v>238</v>
      </c>
      <c r="H245" s="53"/>
      <c r="I245" s="53"/>
    </row>
    <row r="246" spans="1:9" s="54" customFormat="1" ht="18" customHeight="1">
      <c r="A246" s="52">
        <v>248</v>
      </c>
      <c r="B246" s="53" t="s">
        <v>153</v>
      </c>
      <c r="C246" s="53" t="s">
        <v>350</v>
      </c>
      <c r="D246" s="53" t="s">
        <v>89</v>
      </c>
      <c r="E246" s="53"/>
      <c r="F246" s="53"/>
      <c r="G246" s="53" t="s">
        <v>1134</v>
      </c>
      <c r="H246" s="53" t="s">
        <v>1041</v>
      </c>
      <c r="I246" s="53"/>
    </row>
    <row r="247" spans="1:9" s="54" customFormat="1" ht="18" customHeight="1">
      <c r="A247" s="52">
        <v>249</v>
      </c>
      <c r="B247" s="53" t="s">
        <v>153</v>
      </c>
      <c r="C247" s="53" t="s">
        <v>230</v>
      </c>
      <c r="D247" s="53" t="s">
        <v>79</v>
      </c>
      <c r="E247" s="53" t="s">
        <v>1037</v>
      </c>
      <c r="F247" s="53" t="s">
        <v>1038</v>
      </c>
      <c r="G247" s="53"/>
      <c r="H247" s="53"/>
      <c r="I247" s="53"/>
    </row>
    <row r="248" spans="1:9" s="54" customFormat="1" ht="18" customHeight="1">
      <c r="A248" s="52">
        <v>250</v>
      </c>
      <c r="B248" s="53" t="s">
        <v>154</v>
      </c>
      <c r="C248" s="53" t="s">
        <v>351</v>
      </c>
      <c r="D248" s="53" t="s">
        <v>16</v>
      </c>
      <c r="E248" s="53"/>
      <c r="F248" s="53"/>
      <c r="G248" s="53"/>
      <c r="H248" s="53"/>
      <c r="I248" s="53"/>
    </row>
    <row r="249" spans="1:9" s="54" customFormat="1" ht="18" customHeight="1">
      <c r="A249" s="52">
        <v>251</v>
      </c>
      <c r="B249" s="53" t="s">
        <v>154</v>
      </c>
      <c r="C249" s="53" t="s">
        <v>352</v>
      </c>
      <c r="D249" s="53" t="s">
        <v>353</v>
      </c>
      <c r="E249" s="53" t="s">
        <v>1037</v>
      </c>
      <c r="F249" s="53" t="s">
        <v>1038</v>
      </c>
      <c r="G249" s="53"/>
      <c r="H249" s="53"/>
      <c r="I249" s="53"/>
    </row>
    <row r="250" spans="1:9" s="54" customFormat="1" ht="18" customHeight="1">
      <c r="A250" s="52">
        <v>252</v>
      </c>
      <c r="B250" s="53" t="s">
        <v>154</v>
      </c>
      <c r="C250" s="53" t="s">
        <v>354</v>
      </c>
      <c r="D250" s="53" t="s">
        <v>99</v>
      </c>
      <c r="E250" s="53"/>
      <c r="F250" s="53"/>
      <c r="G250" s="53" t="s">
        <v>525</v>
      </c>
      <c r="H250" s="53" t="s">
        <v>525</v>
      </c>
      <c r="I250" s="53"/>
    </row>
    <row r="251" spans="1:9" s="54" customFormat="1" ht="18" customHeight="1">
      <c r="A251" s="52">
        <v>253</v>
      </c>
      <c r="B251" s="53" t="s">
        <v>154</v>
      </c>
      <c r="C251" s="53" t="s">
        <v>355</v>
      </c>
      <c r="D251" s="53" t="s">
        <v>107</v>
      </c>
      <c r="E251" s="53" t="s">
        <v>1093</v>
      </c>
      <c r="F251" s="53"/>
      <c r="G251" s="53" t="s">
        <v>555</v>
      </c>
      <c r="H251" s="53" t="s">
        <v>944</v>
      </c>
      <c r="I251" s="53"/>
    </row>
    <row r="252" spans="1:9" s="54" customFormat="1" ht="18" customHeight="1">
      <c r="A252" s="52">
        <v>254</v>
      </c>
      <c r="B252" s="53" t="s">
        <v>154</v>
      </c>
      <c r="C252" s="53" t="s">
        <v>56</v>
      </c>
      <c r="D252" s="53" t="s">
        <v>884</v>
      </c>
      <c r="E252" s="53"/>
      <c r="F252" s="53"/>
      <c r="G252" s="53"/>
      <c r="H252" s="53"/>
      <c r="I252" s="53"/>
    </row>
    <row r="253" spans="1:9" s="54" customFormat="1" ht="18" customHeight="1">
      <c r="A253" s="52">
        <v>255</v>
      </c>
      <c r="B253" s="53" t="s">
        <v>156</v>
      </c>
      <c r="C253" s="53" t="s">
        <v>886</v>
      </c>
      <c r="D253" s="53" t="s">
        <v>76</v>
      </c>
      <c r="E253" s="53"/>
      <c r="F253" s="53"/>
      <c r="G253" s="53" t="s">
        <v>1135</v>
      </c>
      <c r="H253" s="53" t="s">
        <v>1104</v>
      </c>
      <c r="I253" s="53"/>
    </row>
    <row r="254" spans="1:9" s="54" customFormat="1" ht="18" customHeight="1">
      <c r="A254" s="52">
        <v>256</v>
      </c>
      <c r="B254" s="53" t="s">
        <v>157</v>
      </c>
      <c r="C254" s="53" t="s">
        <v>357</v>
      </c>
      <c r="D254" s="53" t="s">
        <v>358</v>
      </c>
      <c r="E254" s="53"/>
      <c r="F254" s="53"/>
      <c r="G254" s="53"/>
      <c r="H254" s="53" t="s">
        <v>615</v>
      </c>
      <c r="I254" s="53"/>
    </row>
    <row r="255" spans="1:9" s="54" customFormat="1" ht="18" customHeight="1">
      <c r="A255" s="52">
        <v>257</v>
      </c>
      <c r="B255" s="53" t="s">
        <v>158</v>
      </c>
      <c r="C255" s="53" t="s">
        <v>294</v>
      </c>
      <c r="D255" s="53" t="s">
        <v>888</v>
      </c>
      <c r="E255" s="53"/>
      <c r="F255" s="53"/>
      <c r="G255" s="53" t="s">
        <v>1078</v>
      </c>
      <c r="H255" s="53" t="s">
        <v>946</v>
      </c>
      <c r="I255" s="53"/>
    </row>
    <row r="256" spans="1:9" s="54" customFormat="1" ht="18" customHeight="1">
      <c r="A256" s="52">
        <v>258</v>
      </c>
      <c r="B256" s="53" t="s">
        <v>158</v>
      </c>
      <c r="C256" s="53" t="s">
        <v>360</v>
      </c>
      <c r="D256" s="53" t="s">
        <v>361</v>
      </c>
      <c r="E256" s="53"/>
      <c r="F256" s="53"/>
      <c r="G256" s="53"/>
      <c r="H256" s="53"/>
      <c r="I256" s="53"/>
    </row>
    <row r="257" spans="1:9" s="54" customFormat="1" ht="18" customHeight="1">
      <c r="A257" s="52">
        <v>259</v>
      </c>
      <c r="B257" s="53" t="s">
        <v>158</v>
      </c>
      <c r="C257" s="53" t="s">
        <v>56</v>
      </c>
      <c r="D257" s="53" t="s">
        <v>190</v>
      </c>
      <c r="E257" s="53" t="s">
        <v>1053</v>
      </c>
      <c r="F257" s="53"/>
      <c r="G257" s="53"/>
      <c r="H257" s="53"/>
      <c r="I257" s="53"/>
    </row>
    <row r="258" spans="1:9" s="54" customFormat="1" ht="18" customHeight="1">
      <c r="A258" s="52">
        <v>260</v>
      </c>
      <c r="B258" s="53" t="s">
        <v>159</v>
      </c>
      <c r="C258" s="53" t="s">
        <v>890</v>
      </c>
      <c r="D258" s="53" t="s">
        <v>891</v>
      </c>
      <c r="E258" s="53"/>
      <c r="F258" s="53"/>
      <c r="G258" s="53"/>
      <c r="H258" s="53"/>
      <c r="I258" s="53"/>
    </row>
    <row r="259" spans="1:9" s="54" customFormat="1" ht="18" customHeight="1">
      <c r="A259" s="52">
        <v>261</v>
      </c>
      <c r="B259" s="53" t="s">
        <v>159</v>
      </c>
      <c r="C259" s="53" t="s">
        <v>893</v>
      </c>
      <c r="D259" s="53" t="s">
        <v>16</v>
      </c>
      <c r="E259" s="53"/>
      <c r="F259" s="53"/>
      <c r="G259" s="53"/>
      <c r="H259" s="53" t="s">
        <v>1083</v>
      </c>
      <c r="I259" s="53"/>
    </row>
    <row r="260" spans="1:9" s="54" customFormat="1" ht="18" customHeight="1">
      <c r="A260" s="52">
        <v>262</v>
      </c>
      <c r="B260" s="53" t="s">
        <v>159</v>
      </c>
      <c r="C260" s="53" t="s">
        <v>362</v>
      </c>
      <c r="D260" s="53" t="s">
        <v>40</v>
      </c>
      <c r="E260" s="53"/>
      <c r="F260" s="53"/>
      <c r="G260" s="53" t="s">
        <v>552</v>
      </c>
      <c r="H260" s="53"/>
      <c r="I260" s="53"/>
    </row>
    <row r="261" spans="1:9" s="54" customFormat="1" ht="18" customHeight="1">
      <c r="A261" s="52">
        <v>263</v>
      </c>
      <c r="B261" s="53" t="s">
        <v>159</v>
      </c>
      <c r="C261" s="53" t="s">
        <v>363</v>
      </c>
      <c r="D261" s="53" t="s">
        <v>364</v>
      </c>
      <c r="E261" s="53"/>
      <c r="F261" s="53"/>
      <c r="G261" s="53"/>
      <c r="H261" s="53"/>
      <c r="I261" s="53"/>
    </row>
    <row r="262" spans="1:9" s="54" customFormat="1" ht="18" customHeight="1">
      <c r="A262" s="52">
        <v>264</v>
      </c>
      <c r="B262" s="53" t="s">
        <v>159</v>
      </c>
      <c r="C262" s="53" t="s">
        <v>161</v>
      </c>
      <c r="D262" s="53" t="s">
        <v>233</v>
      </c>
      <c r="E262" s="53" t="s">
        <v>1053</v>
      </c>
      <c r="F262" s="53"/>
      <c r="G262" s="53"/>
      <c r="H262" s="53"/>
      <c r="I262" s="53"/>
    </row>
    <row r="263" spans="1:9" s="54" customFormat="1" ht="18" customHeight="1">
      <c r="A263" s="52">
        <v>265</v>
      </c>
      <c r="B263" s="53" t="s">
        <v>159</v>
      </c>
      <c r="C263" s="53" t="s">
        <v>234</v>
      </c>
      <c r="D263" s="53" t="s">
        <v>20</v>
      </c>
      <c r="E263" s="53" t="s">
        <v>1069</v>
      </c>
      <c r="F263" s="53"/>
      <c r="G263" s="53"/>
      <c r="H263" s="53"/>
      <c r="I263" s="53"/>
    </row>
    <row r="264" spans="1:9" s="54" customFormat="1" ht="18" customHeight="1">
      <c r="A264" s="52">
        <v>266</v>
      </c>
      <c r="B264" s="53" t="s">
        <v>159</v>
      </c>
      <c r="C264" s="53" t="s">
        <v>896</v>
      </c>
      <c r="D264" s="53" t="s">
        <v>20</v>
      </c>
      <c r="E264" s="53"/>
      <c r="F264" s="53"/>
      <c r="G264" s="53"/>
      <c r="H264" s="53" t="s">
        <v>1135</v>
      </c>
      <c r="I264" s="53"/>
    </row>
    <row r="265" spans="1:9" s="54" customFormat="1" ht="18" customHeight="1">
      <c r="A265" s="52">
        <v>267</v>
      </c>
      <c r="B265" s="53" t="s">
        <v>159</v>
      </c>
      <c r="C265" s="53" t="s">
        <v>126</v>
      </c>
      <c r="D265" s="53" t="s">
        <v>199</v>
      </c>
      <c r="E265" s="53"/>
      <c r="F265" s="53" t="s">
        <v>1056</v>
      </c>
      <c r="G265" s="53"/>
      <c r="H265" s="53"/>
      <c r="I265" s="53"/>
    </row>
    <row r="266" spans="1:9" s="54" customFormat="1" ht="18" customHeight="1">
      <c r="A266" s="52">
        <v>268</v>
      </c>
      <c r="B266" s="53" t="s">
        <v>898</v>
      </c>
      <c r="C266" s="53" t="s">
        <v>899</v>
      </c>
      <c r="D266" s="53" t="s">
        <v>900</v>
      </c>
      <c r="E266" s="53"/>
      <c r="F266" s="53"/>
      <c r="G266" s="53"/>
      <c r="H266" s="53"/>
      <c r="I266" s="53"/>
    </row>
    <row r="267" spans="1:9" s="54" customFormat="1" ht="18" customHeight="1">
      <c r="A267" s="52">
        <v>269</v>
      </c>
      <c r="B267" s="53" t="s">
        <v>162</v>
      </c>
      <c r="C267" s="53" t="s">
        <v>902</v>
      </c>
      <c r="D267" s="53" t="s">
        <v>353</v>
      </c>
      <c r="E267" s="53"/>
      <c r="F267" s="53" t="s">
        <v>1065</v>
      </c>
      <c r="G267" s="53" t="s">
        <v>9</v>
      </c>
      <c r="H267" s="53" t="s">
        <v>2</v>
      </c>
      <c r="I267" s="53"/>
    </row>
    <row r="268" spans="1:9" s="54" customFormat="1" ht="18" customHeight="1">
      <c r="A268" s="52">
        <v>270</v>
      </c>
      <c r="B268" s="53" t="s">
        <v>162</v>
      </c>
      <c r="C268" s="53" t="s">
        <v>216</v>
      </c>
      <c r="D268" s="53" t="s">
        <v>100</v>
      </c>
      <c r="E268" s="53" t="s">
        <v>1098</v>
      </c>
      <c r="F268" s="53"/>
      <c r="G268" s="53"/>
      <c r="H268" s="53"/>
      <c r="I268" s="53"/>
    </row>
    <row r="269" spans="1:9" s="54" customFormat="1" ht="18" customHeight="1">
      <c r="A269" s="52">
        <v>271</v>
      </c>
      <c r="B269" s="53" t="s">
        <v>162</v>
      </c>
      <c r="C269" s="53" t="s">
        <v>365</v>
      </c>
      <c r="D269" s="53" t="s">
        <v>100</v>
      </c>
      <c r="E269" s="53"/>
      <c r="F269" s="53" t="s">
        <v>1056</v>
      </c>
      <c r="G269" s="53" t="s">
        <v>6</v>
      </c>
      <c r="H269" s="53"/>
      <c r="I269" s="53"/>
    </row>
    <row r="270" spans="1:9" s="54" customFormat="1" ht="18" customHeight="1">
      <c r="A270" s="52">
        <v>272</v>
      </c>
      <c r="B270" s="53" t="s">
        <v>163</v>
      </c>
      <c r="C270" s="53" t="s">
        <v>75</v>
      </c>
      <c r="D270" s="53" t="s">
        <v>100</v>
      </c>
      <c r="E270" s="53"/>
      <c r="F270" s="53"/>
      <c r="G270" s="53" t="s">
        <v>526</v>
      </c>
      <c r="H270" s="53" t="s">
        <v>560</v>
      </c>
      <c r="I270" s="53"/>
    </row>
    <row r="271" spans="1:9" s="54" customFormat="1" ht="18" customHeight="1">
      <c r="A271" s="52">
        <v>273</v>
      </c>
      <c r="B271" s="53" t="s">
        <v>163</v>
      </c>
      <c r="C271" s="53" t="s">
        <v>366</v>
      </c>
      <c r="D271" s="53" t="s">
        <v>55</v>
      </c>
      <c r="E271" s="53" t="s">
        <v>1093</v>
      </c>
      <c r="F271" s="53"/>
      <c r="G271" s="53" t="s">
        <v>537</v>
      </c>
      <c r="H271" s="53" t="s">
        <v>941</v>
      </c>
      <c r="I271" s="53"/>
    </row>
    <row r="272" spans="1:9" s="54" customFormat="1" ht="18" customHeight="1">
      <c r="A272" s="52">
        <v>274</v>
      </c>
      <c r="B272" s="53" t="s">
        <v>163</v>
      </c>
      <c r="C272" s="53" t="s">
        <v>305</v>
      </c>
      <c r="D272" s="53" t="s">
        <v>906</v>
      </c>
      <c r="E272" s="53" t="s">
        <v>1077</v>
      </c>
      <c r="F272" s="53"/>
      <c r="G272" s="53" t="s">
        <v>1103</v>
      </c>
      <c r="H272" s="53"/>
      <c r="I272" s="53"/>
    </row>
    <row r="273" spans="1:9" s="54" customFormat="1" ht="18" customHeight="1">
      <c r="A273" s="52">
        <v>275</v>
      </c>
      <c r="B273" s="53" t="s">
        <v>164</v>
      </c>
      <c r="C273" s="53" t="s">
        <v>908</v>
      </c>
      <c r="D273" s="53" t="s">
        <v>909</v>
      </c>
      <c r="E273" s="53"/>
      <c r="F273" s="53"/>
      <c r="G273" s="53" t="s">
        <v>1075</v>
      </c>
      <c r="H273" s="53"/>
      <c r="I273" s="53"/>
    </row>
    <row r="274" spans="1:9" s="54" customFormat="1" ht="18" customHeight="1">
      <c r="A274" s="52">
        <v>276</v>
      </c>
      <c r="B274" s="53" t="s">
        <v>164</v>
      </c>
      <c r="C274" s="53" t="s">
        <v>367</v>
      </c>
      <c r="D274" s="53" t="s">
        <v>368</v>
      </c>
      <c r="E274" s="53" t="s">
        <v>1053</v>
      </c>
      <c r="F274" s="53"/>
      <c r="G274" s="53"/>
      <c r="H274" s="53"/>
      <c r="I274" s="53"/>
    </row>
    <row r="275" spans="1:9" s="54" customFormat="1" ht="18" customHeight="1">
      <c r="A275" s="52">
        <v>277</v>
      </c>
      <c r="B275" s="53" t="s">
        <v>164</v>
      </c>
      <c r="C275" s="53" t="s">
        <v>369</v>
      </c>
      <c r="D275" s="53" t="s">
        <v>35</v>
      </c>
      <c r="E275" s="53" t="s">
        <v>1036</v>
      </c>
      <c r="F275" s="53"/>
      <c r="G275" s="53" t="s">
        <v>584</v>
      </c>
      <c r="H275" s="53" t="s">
        <v>940</v>
      </c>
      <c r="I275" s="53"/>
    </row>
    <row r="276" spans="1:9" s="54" customFormat="1" ht="18" customHeight="1">
      <c r="A276" s="52">
        <v>278</v>
      </c>
      <c r="B276" s="53" t="s">
        <v>164</v>
      </c>
      <c r="C276" s="53" t="s">
        <v>370</v>
      </c>
      <c r="D276" s="53" t="s">
        <v>194</v>
      </c>
      <c r="E276" s="53"/>
      <c r="F276" s="53"/>
      <c r="G276" s="53"/>
      <c r="H276" s="53" t="s">
        <v>555</v>
      </c>
      <c r="I276" s="53"/>
    </row>
    <row r="277" spans="1:9" s="54" customFormat="1" ht="18" customHeight="1">
      <c r="A277" s="52">
        <v>279</v>
      </c>
      <c r="B277" s="53" t="s">
        <v>165</v>
      </c>
      <c r="C277" s="53" t="s">
        <v>235</v>
      </c>
      <c r="D277" s="53" t="s">
        <v>18</v>
      </c>
      <c r="E277" s="53"/>
      <c r="F277" s="53" t="s">
        <v>1065</v>
      </c>
      <c r="G277" s="53"/>
      <c r="H277" s="53"/>
      <c r="I277" s="53"/>
    </row>
    <row r="278" spans="1:9" s="54" customFormat="1" ht="18" customHeight="1">
      <c r="A278" s="52">
        <v>280</v>
      </c>
      <c r="B278" s="53" t="s">
        <v>165</v>
      </c>
      <c r="C278" s="53" t="s">
        <v>819</v>
      </c>
      <c r="D278" s="53" t="s">
        <v>46</v>
      </c>
      <c r="E278" s="53"/>
      <c r="F278" s="53"/>
      <c r="G278" s="53" t="s">
        <v>546</v>
      </c>
      <c r="H278" s="53" t="s">
        <v>4</v>
      </c>
      <c r="I278" s="53"/>
    </row>
    <row r="279" spans="1:9" s="54" customFormat="1" ht="18" customHeight="1">
      <c r="A279" s="52">
        <v>281</v>
      </c>
      <c r="B279" s="53" t="s">
        <v>167</v>
      </c>
      <c r="C279" s="53" t="s">
        <v>912</v>
      </c>
      <c r="D279" s="53" t="s">
        <v>913</v>
      </c>
      <c r="E279" s="53"/>
      <c r="F279" s="53"/>
      <c r="G279" s="53" t="s">
        <v>1136</v>
      </c>
      <c r="H279" s="53" t="s">
        <v>553</v>
      </c>
      <c r="I279" s="53"/>
    </row>
    <row r="280" spans="1:9" s="54" customFormat="1" ht="18" customHeight="1">
      <c r="A280" s="52">
        <v>282</v>
      </c>
      <c r="B280" s="53" t="s">
        <v>167</v>
      </c>
      <c r="C280" s="53" t="s">
        <v>915</v>
      </c>
      <c r="D280" s="53" t="s">
        <v>916</v>
      </c>
      <c r="E280" s="53"/>
      <c r="F280" s="53" t="s">
        <v>1056</v>
      </c>
      <c r="G280" s="53"/>
      <c r="H280" s="53"/>
      <c r="I280" s="53"/>
    </row>
    <row r="281" spans="1:9" s="54" customFormat="1" ht="18" customHeight="1">
      <c r="A281" s="52">
        <v>283</v>
      </c>
      <c r="B281" s="53" t="s">
        <v>167</v>
      </c>
      <c r="C281" s="53" t="s">
        <v>918</v>
      </c>
      <c r="D281" s="53" t="s">
        <v>919</v>
      </c>
      <c r="E281" s="53"/>
      <c r="F281" s="53"/>
      <c r="G281" s="53"/>
      <c r="H281" s="53"/>
      <c r="I281" s="53"/>
    </row>
    <row r="282" spans="1:9" s="54" customFormat="1" ht="18" customHeight="1">
      <c r="A282" s="52">
        <v>284</v>
      </c>
      <c r="B282" s="53" t="s">
        <v>168</v>
      </c>
      <c r="C282" s="53" t="s">
        <v>921</v>
      </c>
      <c r="D282" s="53" t="s">
        <v>922</v>
      </c>
      <c r="E282" s="53"/>
      <c r="F282" s="53"/>
      <c r="G282" s="53" t="s">
        <v>953</v>
      </c>
      <c r="H282" s="53" t="s">
        <v>2</v>
      </c>
      <c r="I282" s="53"/>
    </row>
    <row r="283" spans="1:9" s="54" customFormat="1" ht="18" customHeight="1">
      <c r="A283" s="52">
        <v>285</v>
      </c>
      <c r="B283" s="53" t="s">
        <v>168</v>
      </c>
      <c r="C283" s="53" t="s">
        <v>924</v>
      </c>
      <c r="D283" s="53" t="s">
        <v>16</v>
      </c>
      <c r="E283" s="53" t="s">
        <v>1037</v>
      </c>
      <c r="F283" s="53" t="s">
        <v>1038</v>
      </c>
      <c r="G283" s="53"/>
      <c r="H283" s="53"/>
      <c r="I283" s="53"/>
    </row>
    <row r="284" spans="1:9" s="54" customFormat="1" ht="18" customHeight="1">
      <c r="A284" s="52">
        <v>286</v>
      </c>
      <c r="B284" s="53" t="s">
        <v>169</v>
      </c>
      <c r="C284" s="53" t="s">
        <v>236</v>
      </c>
      <c r="D284" s="53" t="s">
        <v>55</v>
      </c>
      <c r="E284" s="53" t="s">
        <v>1093</v>
      </c>
      <c r="F284" s="53"/>
      <c r="G284" s="53"/>
      <c r="H284" s="53"/>
      <c r="I284" s="53"/>
    </row>
    <row r="285" spans="1:9" s="54" customFormat="1" ht="18" customHeight="1">
      <c r="A285" s="52">
        <v>287</v>
      </c>
      <c r="B285" s="53" t="s">
        <v>169</v>
      </c>
      <c r="C285" s="53" t="s">
        <v>170</v>
      </c>
      <c r="D285" s="53" t="s">
        <v>171</v>
      </c>
      <c r="E285" s="53" t="s">
        <v>1053</v>
      </c>
      <c r="F285" s="53"/>
      <c r="G285" s="53"/>
      <c r="H285" s="53"/>
      <c r="I285" s="53"/>
    </row>
    <row r="286" spans="1:9" s="54" customFormat="1" ht="18" customHeight="1">
      <c r="A286" s="52">
        <v>288</v>
      </c>
      <c r="B286" s="53" t="s">
        <v>172</v>
      </c>
      <c r="C286" s="53" t="s">
        <v>926</v>
      </c>
      <c r="D286" s="53" t="s">
        <v>16</v>
      </c>
      <c r="E286" s="53"/>
      <c r="F286" s="53"/>
      <c r="G286" s="53"/>
      <c r="H286" s="53" t="s">
        <v>1063</v>
      </c>
      <c r="I286" s="53"/>
    </row>
    <row r="287" spans="1:9" s="54" customFormat="1" ht="18" customHeight="1">
      <c r="A287" s="52">
        <v>289</v>
      </c>
      <c r="B287" s="53" t="s">
        <v>172</v>
      </c>
      <c r="C287" s="53" t="s">
        <v>928</v>
      </c>
      <c r="D287" s="53" t="s">
        <v>929</v>
      </c>
      <c r="E287" s="53"/>
      <c r="F287" s="53"/>
      <c r="G287" s="53" t="s">
        <v>944</v>
      </c>
      <c r="H287" s="53" t="s">
        <v>1118</v>
      </c>
      <c r="I287" s="53"/>
    </row>
    <row r="288" spans="1:9" s="54" customFormat="1" ht="18" customHeight="1">
      <c r="A288" s="52">
        <v>290</v>
      </c>
      <c r="B288" s="53" t="s">
        <v>172</v>
      </c>
      <c r="C288" s="53" t="s">
        <v>931</v>
      </c>
      <c r="D288" s="53" t="s">
        <v>932</v>
      </c>
      <c r="E288" s="53"/>
      <c r="F288" s="53"/>
      <c r="G288" s="53"/>
      <c r="H288" s="53" t="s">
        <v>568</v>
      </c>
      <c r="I288" s="53"/>
    </row>
    <row r="289" spans="1:9" s="54" customFormat="1" ht="18" customHeight="1">
      <c r="A289" s="52">
        <v>291</v>
      </c>
      <c r="B289" s="53" t="s">
        <v>143</v>
      </c>
      <c r="C289" s="53" t="s">
        <v>960</v>
      </c>
      <c r="D289" s="53" t="s">
        <v>243</v>
      </c>
      <c r="E289" s="53"/>
      <c r="F289" s="53"/>
      <c r="G289" s="53"/>
      <c r="H289" s="53" t="s">
        <v>5</v>
      </c>
      <c r="I289" s="53"/>
    </row>
    <row r="290" spans="1:9" s="54" customFormat="1" ht="18" customHeight="1">
      <c r="A290" s="52">
        <v>292</v>
      </c>
      <c r="B290" s="53" t="s">
        <v>37</v>
      </c>
      <c r="C290" s="53" t="s">
        <v>961</v>
      </c>
      <c r="D290" s="53" t="s">
        <v>962</v>
      </c>
      <c r="E290" s="53"/>
      <c r="F290" s="53"/>
      <c r="G290" s="53"/>
      <c r="H290" s="53"/>
      <c r="I290" s="53"/>
    </row>
  </sheetData>
  <autoFilter ref="A1:I291"/>
  <pageMargins left="0.19685039370078741" right="0.19685039370078741" top="0.34" bottom="0.15748031496062992" header="0.15748031496062992" footer="0.24"/>
  <pageSetup paperSize="9" scale="9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7"/>
  <sheetViews>
    <sheetView view="pageBreakPreview" topLeftCell="A16" zoomScale="115" zoomScaleNormal="100" zoomScaleSheetLayoutView="115" workbookViewId="0">
      <selection activeCell="G37" sqref="G37"/>
    </sheetView>
  </sheetViews>
  <sheetFormatPr defaultRowHeight="12.75"/>
  <cols>
    <col min="1" max="1" width="3.5703125" style="122" bestFit="1" customWidth="1"/>
    <col min="2" max="2" width="15" style="122" bestFit="1" customWidth="1"/>
    <col min="3" max="3" width="11.7109375" style="122" bestFit="1" customWidth="1"/>
    <col min="4" max="4" width="17.5703125" style="122" bestFit="1" customWidth="1"/>
    <col min="5" max="5" width="17.42578125" style="122" bestFit="1" customWidth="1"/>
    <col min="6" max="6" width="7.5703125" style="122" bestFit="1" customWidth="1"/>
    <col min="7" max="7" width="17.5703125" style="122" bestFit="1" customWidth="1"/>
    <col min="8" max="16384" width="9.140625" style="122"/>
  </cols>
  <sheetData>
    <row r="1" spans="1:7" ht="25.5" customHeight="1">
      <c r="A1" s="185" t="s">
        <v>1434</v>
      </c>
      <c r="B1" s="185"/>
      <c r="C1" s="185"/>
      <c r="D1" s="185"/>
      <c r="E1" s="185"/>
      <c r="F1" s="185"/>
    </row>
    <row r="2" spans="1:7" ht="14.25" customHeight="1">
      <c r="A2" s="125" t="s">
        <v>1435</v>
      </c>
      <c r="B2" s="125" t="s">
        <v>0</v>
      </c>
      <c r="C2" s="125" t="s">
        <v>1</v>
      </c>
      <c r="D2" s="125" t="s">
        <v>934</v>
      </c>
      <c r="E2" s="125" t="s">
        <v>1138</v>
      </c>
      <c r="F2" s="125" t="s">
        <v>1056</v>
      </c>
      <c r="G2" s="125" t="s">
        <v>1436</v>
      </c>
    </row>
    <row r="3" spans="1:7">
      <c r="A3" s="123">
        <v>3</v>
      </c>
      <c r="B3" s="124" t="s">
        <v>11</v>
      </c>
      <c r="C3" s="124" t="s">
        <v>173</v>
      </c>
      <c r="D3" s="124" t="s">
        <v>174</v>
      </c>
      <c r="E3" s="124"/>
      <c r="F3" s="124"/>
      <c r="G3" s="126" t="str">
        <f>IF(COUNTIF('Giriş Sayfası'!A:A,'bütç.konuşmayan tercih'!A3),"Tercihi var","Tercihte Bulunmamış")</f>
        <v>Tercihte Bulunmamış</v>
      </c>
    </row>
    <row r="4" spans="1:7">
      <c r="A4" s="123">
        <v>4</v>
      </c>
      <c r="B4" s="124" t="s">
        <v>11</v>
      </c>
      <c r="C4" s="124" t="s">
        <v>250</v>
      </c>
      <c r="D4" s="124" t="s">
        <v>251</v>
      </c>
      <c r="E4" s="124" t="s">
        <v>1037</v>
      </c>
      <c r="F4" s="124" t="s">
        <v>1038</v>
      </c>
      <c r="G4" s="126" t="str">
        <f>IF(COUNTIF('Giriş Sayfası'!A:A,'bütç.konuşmayan tercih'!A4),"Tercihi var","Tercihte Bulunmamış")</f>
        <v>Tercihte Bulunmamış</v>
      </c>
    </row>
    <row r="5" spans="1:7">
      <c r="A5" s="123">
        <v>6</v>
      </c>
      <c r="B5" s="124" t="s">
        <v>14</v>
      </c>
      <c r="C5" s="124" t="s">
        <v>15</v>
      </c>
      <c r="D5" s="124" t="s">
        <v>16</v>
      </c>
      <c r="E5" s="124"/>
      <c r="F5" s="124" t="s">
        <v>1040</v>
      </c>
      <c r="G5" s="126" t="str">
        <f>IF(COUNTIF('Giriş Sayfası'!A:A,'bütç.konuşmayan tercih'!A5),"Tercihi var","Tercihte Bulunmamış")</f>
        <v>Tercihte Bulunmamış</v>
      </c>
    </row>
    <row r="6" spans="1:7">
      <c r="A6" s="123">
        <v>8</v>
      </c>
      <c r="B6" s="124" t="s">
        <v>14</v>
      </c>
      <c r="C6" s="124" t="s">
        <v>621</v>
      </c>
      <c r="D6" s="124" t="s">
        <v>622</v>
      </c>
      <c r="E6" s="124"/>
      <c r="F6" s="124"/>
      <c r="G6" s="126" t="str">
        <f>IF(COUNTIF('Giriş Sayfası'!A:A,'bütç.konuşmayan tercih'!A6),"Tercihi var","Tercihte Bulunmamış")</f>
        <v>Tercihte Bulunmamış</v>
      </c>
    </row>
    <row r="7" spans="1:7">
      <c r="A7" s="123">
        <v>10</v>
      </c>
      <c r="B7" s="124" t="s">
        <v>19</v>
      </c>
      <c r="C7" s="124" t="s">
        <v>21</v>
      </c>
      <c r="D7" s="124" t="s">
        <v>22</v>
      </c>
      <c r="E7" s="124"/>
      <c r="F7" s="124"/>
      <c r="G7" s="126" t="str">
        <f>IF(COUNTIF('Giriş Sayfası'!A:A,'bütç.konuşmayan tercih'!A7),"Tercihi var","Tercihte Bulunmamış")</f>
        <v>Tercihte Bulunmamış</v>
      </c>
    </row>
    <row r="8" spans="1:7">
      <c r="A8" s="123">
        <v>11</v>
      </c>
      <c r="B8" s="124" t="s">
        <v>19</v>
      </c>
      <c r="C8" s="124" t="s">
        <v>244</v>
      </c>
      <c r="D8" s="124" t="s">
        <v>13</v>
      </c>
      <c r="E8" s="124"/>
      <c r="F8" s="124" t="s">
        <v>1040</v>
      </c>
      <c r="G8" s="126" t="str">
        <f>IF(COUNTIF('Giriş Sayfası'!A:A,'bütç.konuşmayan tercih'!A8),"Tercihi var","Tercihte Bulunmamış")</f>
        <v>Tercihte Bulunmamış</v>
      </c>
    </row>
    <row r="9" spans="1:7">
      <c r="A9" s="123">
        <v>15</v>
      </c>
      <c r="B9" s="124" t="s">
        <v>26</v>
      </c>
      <c r="C9" s="124" t="s">
        <v>28</v>
      </c>
      <c r="D9" s="124" t="s">
        <v>29</v>
      </c>
      <c r="E9" s="124"/>
      <c r="F9" s="124"/>
      <c r="G9" s="126" t="str">
        <f>IF(COUNTIF('Giriş Sayfası'!A:A,'bütç.konuşmayan tercih'!A9),"Tercihi var","Tercihte Bulunmamış")</f>
        <v>Tercihte Bulunmamış</v>
      </c>
    </row>
    <row r="10" spans="1:7">
      <c r="A10" s="123">
        <v>18</v>
      </c>
      <c r="B10" s="124" t="s">
        <v>31</v>
      </c>
      <c r="C10" s="124" t="s">
        <v>178</v>
      </c>
      <c r="D10" s="124" t="s">
        <v>179</v>
      </c>
      <c r="E10" s="124"/>
      <c r="F10" s="124" t="s">
        <v>1048</v>
      </c>
      <c r="G10" s="126" t="str">
        <f>IF(COUNTIF('Giriş Sayfası'!A:A,'bütç.konuşmayan tercih'!A10),"Tercihi var","Tercihte Bulunmamış")</f>
        <v>Tercihte Bulunmamış</v>
      </c>
    </row>
    <row r="11" spans="1:7">
      <c r="A11" s="123">
        <v>19</v>
      </c>
      <c r="B11" s="124" t="s">
        <v>31</v>
      </c>
      <c r="C11" s="124" t="s">
        <v>75</v>
      </c>
      <c r="D11" s="124" t="s">
        <v>79</v>
      </c>
      <c r="E11" s="124"/>
      <c r="F11" s="124"/>
      <c r="G11" s="126" t="str">
        <f>IF(COUNTIF('Giriş Sayfası'!A:A,'bütç.konuşmayan tercih'!A11),"Tercihi var","Tercihte Bulunmamış")</f>
        <v>Tercihte Bulunmamış</v>
      </c>
    </row>
    <row r="12" spans="1:7">
      <c r="A12" s="123">
        <v>20</v>
      </c>
      <c r="B12" s="124" t="s">
        <v>31</v>
      </c>
      <c r="C12" s="124" t="s">
        <v>15</v>
      </c>
      <c r="D12" s="124" t="s">
        <v>637</v>
      </c>
      <c r="E12" s="124"/>
      <c r="F12" s="124"/>
      <c r="G12" s="126" t="str">
        <f>IF(COUNTIF('Giriş Sayfası'!A:A,'bütç.konuşmayan tercih'!A12),"Tercihi var","Tercihte Bulunmamış")</f>
        <v>Tercihte Bulunmamış</v>
      </c>
    </row>
    <row r="13" spans="1:7">
      <c r="A13" s="123">
        <v>22</v>
      </c>
      <c r="B13" s="124" t="s">
        <v>31</v>
      </c>
      <c r="C13" s="124" t="s">
        <v>246</v>
      </c>
      <c r="D13" s="124" t="s">
        <v>113</v>
      </c>
      <c r="E13" s="124"/>
      <c r="F13" s="124"/>
      <c r="G13" s="126" t="str">
        <f>IF(COUNTIF('Giriş Sayfası'!A:A,'bütç.konuşmayan tercih'!A13),"Tercihi var","Tercihte Bulunmamış")</f>
        <v>Tercihi var</v>
      </c>
    </row>
    <row r="14" spans="1:7">
      <c r="A14" s="123">
        <v>23</v>
      </c>
      <c r="B14" s="124" t="s">
        <v>31</v>
      </c>
      <c r="C14" s="124" t="s">
        <v>247</v>
      </c>
      <c r="D14" s="124" t="s">
        <v>248</v>
      </c>
      <c r="E14" s="124" t="s">
        <v>1037</v>
      </c>
      <c r="F14" s="124" t="s">
        <v>1038</v>
      </c>
      <c r="G14" s="126" t="str">
        <f>IF(COUNTIF('Giriş Sayfası'!A:A,'bütç.konuşmayan tercih'!A14),"Tercihi var","Tercihte Bulunmamış")</f>
        <v>Tercihte Bulunmamış</v>
      </c>
    </row>
    <row r="15" spans="1:7">
      <c r="A15" s="123">
        <v>27</v>
      </c>
      <c r="B15" s="124" t="s">
        <v>31</v>
      </c>
      <c r="C15" s="124" t="s">
        <v>39</v>
      </c>
      <c r="D15" s="124" t="s">
        <v>60</v>
      </c>
      <c r="E15" s="124" t="s">
        <v>1037</v>
      </c>
      <c r="F15" s="124" t="s">
        <v>1038</v>
      </c>
      <c r="G15" s="126" t="str">
        <f>IF(COUNTIF('Giriş Sayfası'!A:A,'bütç.konuşmayan tercih'!A15),"Tercihi var","Tercihte Bulunmamış")</f>
        <v>Tercihte Bulunmamış</v>
      </c>
    </row>
    <row r="16" spans="1:7">
      <c r="A16" s="123">
        <v>28</v>
      </c>
      <c r="B16" s="124" t="s">
        <v>31</v>
      </c>
      <c r="C16" s="124" t="s">
        <v>217</v>
      </c>
      <c r="D16" s="124" t="s">
        <v>341</v>
      </c>
      <c r="E16" s="124"/>
      <c r="F16" s="124"/>
      <c r="G16" s="126" t="str">
        <f>IF(COUNTIF('Giriş Sayfası'!A:A,'bütç.konuşmayan tercih'!A16),"Tercihi var","Tercihte Bulunmamış")</f>
        <v>Tercihte Bulunmamış</v>
      </c>
    </row>
    <row r="17" spans="1:7">
      <c r="A17" s="123">
        <v>29</v>
      </c>
      <c r="B17" s="124" t="s">
        <v>31</v>
      </c>
      <c r="C17" s="124" t="s">
        <v>218</v>
      </c>
      <c r="D17" s="124" t="s">
        <v>252</v>
      </c>
      <c r="E17" s="124"/>
      <c r="F17" s="124"/>
      <c r="G17" s="126" t="str">
        <f>IF(COUNTIF('Giriş Sayfası'!A:A,'bütç.konuşmayan tercih'!A17),"Tercihi var","Tercihte Bulunmamış")</f>
        <v>Tercihte Bulunmamış</v>
      </c>
    </row>
    <row r="18" spans="1:7">
      <c r="A18" s="123">
        <v>30</v>
      </c>
      <c r="B18" s="124" t="s">
        <v>31</v>
      </c>
      <c r="C18" s="124" t="s">
        <v>645</v>
      </c>
      <c r="D18" s="124" t="s">
        <v>99</v>
      </c>
      <c r="E18" s="124"/>
      <c r="F18" s="124"/>
      <c r="G18" s="126" t="str">
        <f>IF(COUNTIF('Giriş Sayfası'!A:A,'bütç.konuşmayan tercih'!A18),"Tercihi var","Tercihte Bulunmamış")</f>
        <v>Tercihi var</v>
      </c>
    </row>
    <row r="19" spans="1:7">
      <c r="A19" s="123">
        <v>35</v>
      </c>
      <c r="B19" s="124" t="s">
        <v>37</v>
      </c>
      <c r="C19" s="124" t="s">
        <v>254</v>
      </c>
      <c r="D19" s="124" t="s">
        <v>100</v>
      </c>
      <c r="E19" s="124"/>
      <c r="F19" s="124" t="s">
        <v>1056</v>
      </c>
      <c r="G19" s="126" t="str">
        <f>IF(COUNTIF('Giriş Sayfası'!A:A,'bütç.konuşmayan tercih'!A19),"Tercihi var","Tercihte Bulunmamış")</f>
        <v>Tercihi var</v>
      </c>
    </row>
    <row r="20" spans="1:7">
      <c r="A20" s="123">
        <v>36</v>
      </c>
      <c r="B20" s="124" t="s">
        <v>37</v>
      </c>
      <c r="C20" s="124" t="s">
        <v>166</v>
      </c>
      <c r="D20" s="124" t="s">
        <v>255</v>
      </c>
      <c r="E20" s="124" t="s">
        <v>1052</v>
      </c>
      <c r="F20" s="124"/>
      <c r="G20" s="126" t="str">
        <f>IF(COUNTIF('Giriş Sayfası'!A:A,'bütç.konuşmayan tercih'!A20),"Tercihi var","Tercihte Bulunmamış")</f>
        <v>Tercihi var</v>
      </c>
    </row>
    <row r="21" spans="1:7">
      <c r="A21" s="123">
        <v>37</v>
      </c>
      <c r="B21" s="124" t="s">
        <v>41</v>
      </c>
      <c r="C21" s="124" t="s">
        <v>32</v>
      </c>
      <c r="D21" s="124" t="s">
        <v>99</v>
      </c>
      <c r="E21" s="124" t="s">
        <v>1052</v>
      </c>
      <c r="F21" s="124"/>
      <c r="G21" s="126" t="str">
        <f>IF(COUNTIF('Giriş Sayfası'!A:A,'bütç.konuşmayan tercih'!A21),"Tercihi var","Tercihte Bulunmamış")</f>
        <v>Tercihte Bulunmamış</v>
      </c>
    </row>
    <row r="22" spans="1:7">
      <c r="A22" s="123">
        <v>48</v>
      </c>
      <c r="B22" s="124" t="s">
        <v>47</v>
      </c>
      <c r="C22" s="124" t="s">
        <v>48</v>
      </c>
      <c r="D22" s="124" t="s">
        <v>49</v>
      </c>
      <c r="E22" s="124" t="s">
        <v>1053</v>
      </c>
      <c r="F22" s="124"/>
      <c r="G22" s="126" t="str">
        <f>IF(COUNTIF('Giriş Sayfası'!A:A,'bütç.konuşmayan tercih'!A22),"Tercihi var","Tercihte Bulunmamış")</f>
        <v>Tercihte Bulunmamış</v>
      </c>
    </row>
    <row r="23" spans="1:7">
      <c r="A23" s="123">
        <v>50</v>
      </c>
      <c r="B23" s="124" t="s">
        <v>52</v>
      </c>
      <c r="C23" s="124" t="s">
        <v>674</v>
      </c>
      <c r="D23" s="124" t="s">
        <v>675</v>
      </c>
      <c r="E23" s="124"/>
      <c r="F23" s="124"/>
      <c r="G23" s="126" t="str">
        <f>IF(COUNTIF('Giriş Sayfası'!A:A,'bütç.konuşmayan tercih'!A23),"Tercihi var","Tercihte Bulunmamış")</f>
        <v>Tercihi var</v>
      </c>
    </row>
    <row r="24" spans="1:7">
      <c r="A24" s="123">
        <v>52</v>
      </c>
      <c r="B24" s="124" t="s">
        <v>54</v>
      </c>
      <c r="C24" s="124" t="s">
        <v>679</v>
      </c>
      <c r="D24" s="124" t="s">
        <v>680</v>
      </c>
      <c r="E24" s="124"/>
      <c r="F24" s="124"/>
      <c r="G24" s="126" t="str">
        <f>IF(COUNTIF('Giriş Sayfası'!A:A,'bütç.konuşmayan tercih'!A24),"Tercihi var","Tercihte Bulunmamış")</f>
        <v>Tercihte Bulunmamış</v>
      </c>
    </row>
    <row r="25" spans="1:7">
      <c r="A25" s="123">
        <v>54</v>
      </c>
      <c r="B25" s="124" t="s">
        <v>58</v>
      </c>
      <c r="C25" s="124" t="s">
        <v>682</v>
      </c>
      <c r="D25" s="124" t="s">
        <v>683</v>
      </c>
      <c r="E25" s="124"/>
      <c r="F25" s="124"/>
      <c r="G25" s="126" t="str">
        <f>IF(COUNTIF('Giriş Sayfası'!A:A,'bütç.konuşmayan tercih'!A25),"Tercihi var","Tercihte Bulunmamış")</f>
        <v>Tercihte Bulunmamış</v>
      </c>
    </row>
    <row r="26" spans="1:7">
      <c r="A26" s="123">
        <v>58</v>
      </c>
      <c r="B26" s="124" t="s">
        <v>62</v>
      </c>
      <c r="C26" s="124" t="s">
        <v>63</v>
      </c>
      <c r="D26" s="124" t="s">
        <v>64</v>
      </c>
      <c r="E26" s="124" t="s">
        <v>1069</v>
      </c>
      <c r="F26" s="124"/>
      <c r="G26" s="126" t="str">
        <f>IF(COUNTIF('Giriş Sayfası'!A:A,'bütç.konuşmayan tercih'!A26),"Tercihi var","Tercihte Bulunmamış")</f>
        <v>Tercihi var</v>
      </c>
    </row>
    <row r="27" spans="1:7">
      <c r="A27" s="123">
        <v>60</v>
      </c>
      <c r="B27" s="124" t="s">
        <v>65</v>
      </c>
      <c r="C27" s="124" t="s">
        <v>257</v>
      </c>
      <c r="D27" s="124" t="s">
        <v>258</v>
      </c>
      <c r="E27" s="124" t="s">
        <v>1053</v>
      </c>
      <c r="F27" s="124" t="s">
        <v>1056</v>
      </c>
      <c r="G27" s="126" t="str">
        <f>IF(COUNTIF('Giriş Sayfası'!A:A,'bütç.konuşmayan tercih'!A27),"Tercihi var","Tercihte Bulunmamış")</f>
        <v>Tercihte Bulunmamış</v>
      </c>
    </row>
    <row r="28" spans="1:7">
      <c r="A28" s="123">
        <v>62</v>
      </c>
      <c r="B28" s="124" t="s">
        <v>65</v>
      </c>
      <c r="C28" s="124" t="s">
        <v>38</v>
      </c>
      <c r="D28" s="124" t="s">
        <v>189</v>
      </c>
      <c r="E28" s="124" t="s">
        <v>1053</v>
      </c>
      <c r="F28" s="124"/>
      <c r="G28" s="126" t="str">
        <f>IF(COUNTIF('Giriş Sayfası'!A:A,'bütç.konuşmayan tercih'!A28),"Tercihi var","Tercihte Bulunmamış")</f>
        <v>Tercihte Bulunmamış</v>
      </c>
    </row>
    <row r="29" spans="1:7">
      <c r="A29" s="123">
        <v>73</v>
      </c>
      <c r="B29" s="124" t="s">
        <v>67</v>
      </c>
      <c r="C29" s="124" t="s">
        <v>263</v>
      </c>
      <c r="D29" s="124" t="s">
        <v>264</v>
      </c>
      <c r="E29" s="124" t="s">
        <v>1077</v>
      </c>
      <c r="F29" s="124"/>
      <c r="G29" s="126" t="str">
        <f>IF(COUNTIF('Giriş Sayfası'!A:A,'bütç.konuşmayan tercih'!A29),"Tercihi var","Tercihte Bulunmamış")</f>
        <v>Tercihte Bulunmamış</v>
      </c>
    </row>
    <row r="30" spans="1:7">
      <c r="A30" s="123">
        <v>75</v>
      </c>
      <c r="B30" s="124" t="s">
        <v>69</v>
      </c>
      <c r="C30" s="124" t="s">
        <v>246</v>
      </c>
      <c r="D30" s="124" t="s">
        <v>265</v>
      </c>
      <c r="E30" s="124"/>
      <c r="F30" s="124" t="s">
        <v>1056</v>
      </c>
      <c r="G30" s="126" t="str">
        <f>IF(COUNTIF('Giriş Sayfası'!A:A,'bütç.konuşmayan tercih'!A30),"Tercihi var","Tercihte Bulunmamış")</f>
        <v>Tercihte Bulunmamış</v>
      </c>
    </row>
    <row r="31" spans="1:7">
      <c r="A31" s="123">
        <v>79</v>
      </c>
      <c r="B31" s="124" t="s">
        <v>73</v>
      </c>
      <c r="C31" s="124" t="s">
        <v>266</v>
      </c>
      <c r="D31" s="124" t="s">
        <v>70</v>
      </c>
      <c r="E31" s="124" t="s">
        <v>1077</v>
      </c>
      <c r="F31" s="124"/>
      <c r="G31" s="126" t="str">
        <f>IF(COUNTIF('Giriş Sayfası'!A:A,'bütç.konuşmayan tercih'!A31),"Tercihi var","Tercihte Bulunmamış")</f>
        <v>Tercihte Bulunmamış</v>
      </c>
    </row>
    <row r="32" spans="1:7">
      <c r="A32" s="123">
        <v>81</v>
      </c>
      <c r="B32" s="124" t="s">
        <v>73</v>
      </c>
      <c r="C32" s="124" t="s">
        <v>126</v>
      </c>
      <c r="D32" s="124" t="s">
        <v>16</v>
      </c>
      <c r="E32" s="124" t="s">
        <v>1052</v>
      </c>
      <c r="F32" s="124"/>
      <c r="G32" s="126" t="str">
        <f>IF(COUNTIF('Giriş Sayfası'!A:A,'bütç.konuşmayan tercih'!A32),"Tercihi var","Tercihte Bulunmamış")</f>
        <v>Tercihi var</v>
      </c>
    </row>
    <row r="33" spans="1:7">
      <c r="A33" s="123">
        <v>83</v>
      </c>
      <c r="B33" s="124" t="s">
        <v>74</v>
      </c>
      <c r="C33" s="124" t="s">
        <v>77</v>
      </c>
      <c r="D33" s="124" t="s">
        <v>78</v>
      </c>
      <c r="E33" s="124"/>
      <c r="F33" s="124"/>
      <c r="G33" s="126" t="str">
        <f>IF(COUNTIF('Giriş Sayfası'!A:A,'bütç.konuşmayan tercih'!A33),"Tercihi var","Tercihte Bulunmamış")</f>
        <v>Tercihte Bulunmamış</v>
      </c>
    </row>
    <row r="34" spans="1:7">
      <c r="A34" s="123">
        <v>91</v>
      </c>
      <c r="B34" s="124" t="s">
        <v>82</v>
      </c>
      <c r="C34" s="124" t="s">
        <v>730</v>
      </c>
      <c r="D34" s="124" t="s">
        <v>731</v>
      </c>
      <c r="E34" s="124"/>
      <c r="F34" s="124"/>
      <c r="G34" s="126" t="str">
        <f>IF(COUNTIF('Giriş Sayfası'!A:A,'bütç.konuşmayan tercih'!A34),"Tercihi var","Tercihte Bulunmamış")</f>
        <v>Tercihte Bulunmamış</v>
      </c>
    </row>
    <row r="35" spans="1:7">
      <c r="A35" s="123">
        <v>94</v>
      </c>
      <c r="B35" s="124" t="s">
        <v>87</v>
      </c>
      <c r="C35" s="124" t="s">
        <v>88</v>
      </c>
      <c r="D35" s="124" t="s">
        <v>89</v>
      </c>
      <c r="E35" s="124" t="s">
        <v>1053</v>
      </c>
      <c r="F35" s="124"/>
      <c r="G35" s="126" t="str">
        <f>IF(COUNTIF('Giriş Sayfası'!A:A,'bütç.konuşmayan tercih'!A35),"Tercihi var","Tercihte Bulunmamış")</f>
        <v>Tercihte Bulunmamış</v>
      </c>
    </row>
    <row r="36" spans="1:7">
      <c r="A36" s="123">
        <v>95</v>
      </c>
      <c r="B36" s="124" t="s">
        <v>87</v>
      </c>
      <c r="C36" s="124" t="s">
        <v>735</v>
      </c>
      <c r="D36" s="124" t="s">
        <v>736</v>
      </c>
      <c r="E36" s="124" t="s">
        <v>1052</v>
      </c>
      <c r="F36" s="124"/>
      <c r="G36" s="126" t="str">
        <f>IF(COUNTIF('Giriş Sayfası'!A:A,'bütç.konuşmayan tercih'!A36),"Tercihi var","Tercihte Bulunmamış")</f>
        <v>Tercihte Bulunmamış</v>
      </c>
    </row>
    <row r="37" spans="1:7">
      <c r="A37" s="123">
        <v>98</v>
      </c>
      <c r="B37" s="124" t="s">
        <v>91</v>
      </c>
      <c r="C37" s="124" t="s">
        <v>195</v>
      </c>
      <c r="D37" s="124" t="s">
        <v>196</v>
      </c>
      <c r="E37" s="124"/>
      <c r="F37" s="124"/>
      <c r="G37" s="126" t="str">
        <f>IF(COUNTIF('Giriş Sayfası'!A:A,'bütç.konuşmayan tercih'!A37),"Tercihi var","Tercihte Bulunmamış")</f>
        <v>Tercihte Bulunmamış</v>
      </c>
    </row>
    <row r="38" spans="1:7">
      <c r="A38" s="123">
        <v>100</v>
      </c>
      <c r="B38" s="124" t="s">
        <v>91</v>
      </c>
      <c r="C38" s="124" t="s">
        <v>278</v>
      </c>
      <c r="D38" s="124" t="s">
        <v>137</v>
      </c>
      <c r="E38" s="124"/>
      <c r="F38" s="124" t="s">
        <v>1056</v>
      </c>
      <c r="G38" s="126" t="str">
        <f>IF(COUNTIF('Giriş Sayfası'!A:A,'bütç.konuşmayan tercih'!A38),"Tercihi var","Tercihte Bulunmamış")</f>
        <v>Tercihte Bulunmamış</v>
      </c>
    </row>
    <row r="39" spans="1:7">
      <c r="A39" s="123">
        <v>113</v>
      </c>
      <c r="B39" s="124" t="s">
        <v>751</v>
      </c>
      <c r="C39" s="124" t="s">
        <v>752</v>
      </c>
      <c r="D39" s="124" t="s">
        <v>753</v>
      </c>
      <c r="E39" s="124"/>
      <c r="F39" s="124"/>
      <c r="G39" s="126" t="str">
        <f>IF(COUNTIF('Giriş Sayfası'!A:A,'bütç.konuşmayan tercih'!A39),"Tercihi var","Tercihte Bulunmamış")</f>
        <v>Tercihte Bulunmamış</v>
      </c>
    </row>
    <row r="40" spans="1:7">
      <c r="A40" s="123">
        <v>114</v>
      </c>
      <c r="B40" s="124" t="s">
        <v>98</v>
      </c>
      <c r="C40" s="124" t="s">
        <v>755</v>
      </c>
      <c r="D40" s="124" t="s">
        <v>281</v>
      </c>
      <c r="E40" s="124"/>
      <c r="F40" s="124" t="s">
        <v>1040</v>
      </c>
      <c r="G40" s="126" t="str">
        <f>IF(COUNTIF('Giriş Sayfası'!A:A,'bütç.konuşmayan tercih'!A40),"Tercihi var","Tercihte Bulunmamış")</f>
        <v>Tercihte Bulunmamış</v>
      </c>
    </row>
    <row r="41" spans="1:7">
      <c r="A41" s="123">
        <v>119</v>
      </c>
      <c r="B41" s="124" t="s">
        <v>101</v>
      </c>
      <c r="C41" s="124" t="s">
        <v>102</v>
      </c>
      <c r="D41" s="124" t="s">
        <v>103</v>
      </c>
      <c r="E41" s="124" t="s">
        <v>1098</v>
      </c>
      <c r="F41" s="124"/>
      <c r="G41" s="126" t="str">
        <f>IF(COUNTIF('Giriş Sayfası'!A:A,'bütç.konuşmayan tercih'!A41),"Tercihi var","Tercihte Bulunmamış")</f>
        <v>Tercihte Bulunmamış</v>
      </c>
    </row>
    <row r="42" spans="1:7">
      <c r="A42" s="123">
        <v>120</v>
      </c>
      <c r="B42" s="124" t="s">
        <v>101</v>
      </c>
      <c r="C42" s="124" t="s">
        <v>763</v>
      </c>
      <c r="D42" s="124" t="s">
        <v>308</v>
      </c>
      <c r="E42" s="124"/>
      <c r="F42" s="124"/>
      <c r="G42" s="126" t="str">
        <f>IF(COUNTIF('Giriş Sayfası'!A:A,'bütç.konuşmayan tercih'!A42),"Tercihi var","Tercihte Bulunmamış")</f>
        <v>Tercihte Bulunmamış</v>
      </c>
    </row>
    <row r="43" spans="1:7">
      <c r="A43" s="123">
        <v>121</v>
      </c>
      <c r="B43" s="124" t="s">
        <v>101</v>
      </c>
      <c r="C43" s="124" t="s">
        <v>755</v>
      </c>
      <c r="D43" s="124" t="s">
        <v>89</v>
      </c>
      <c r="E43" s="124"/>
      <c r="F43" s="124"/>
      <c r="G43" s="126" t="str">
        <f>IF(COUNTIF('Giriş Sayfası'!A:A,'bütç.konuşmayan tercih'!A43),"Tercihi var","Tercihte Bulunmamış")</f>
        <v>Tercihte Bulunmamış</v>
      </c>
    </row>
    <row r="44" spans="1:7">
      <c r="A44" s="123">
        <v>123</v>
      </c>
      <c r="B44" s="124" t="s">
        <v>104</v>
      </c>
      <c r="C44" s="124" t="s">
        <v>105</v>
      </c>
      <c r="D44" s="124" t="s">
        <v>100</v>
      </c>
      <c r="E44" s="124"/>
      <c r="F44" s="124" t="s">
        <v>1056</v>
      </c>
      <c r="G44" s="126" t="str">
        <f>IF(COUNTIF('Giriş Sayfası'!A:A,'bütç.konuşmayan tercih'!A44),"Tercihi var","Tercihte Bulunmamış")</f>
        <v>Tercihi var</v>
      </c>
    </row>
    <row r="45" spans="1:7">
      <c r="A45" s="123">
        <v>126</v>
      </c>
      <c r="B45" s="124" t="s">
        <v>104</v>
      </c>
      <c r="C45" s="124" t="s">
        <v>183</v>
      </c>
      <c r="D45" s="124" t="s">
        <v>289</v>
      </c>
      <c r="E45" s="124"/>
      <c r="F45" s="124"/>
      <c r="G45" s="126" t="str">
        <f>IF(COUNTIF('Giriş Sayfası'!A:A,'bütç.konuşmayan tercih'!A45),"Tercihi var","Tercihte Bulunmamış")</f>
        <v>Tercihte Bulunmamış</v>
      </c>
    </row>
    <row r="46" spans="1:7">
      <c r="A46" s="123">
        <v>127</v>
      </c>
      <c r="B46" s="124" t="s">
        <v>104</v>
      </c>
      <c r="C46" s="124" t="s">
        <v>274</v>
      </c>
      <c r="D46" s="124" t="s">
        <v>275</v>
      </c>
      <c r="E46" s="124"/>
      <c r="F46" s="124" t="s">
        <v>1040</v>
      </c>
      <c r="G46" s="126" t="str">
        <f>IF(COUNTIF('Giriş Sayfası'!A:A,'bütç.konuşmayan tercih'!A46),"Tercihi var","Tercihte Bulunmamış")</f>
        <v>Tercihte Bulunmamış</v>
      </c>
    </row>
    <row r="47" spans="1:7">
      <c r="A47" s="123">
        <v>129</v>
      </c>
      <c r="B47" s="124" t="s">
        <v>104</v>
      </c>
      <c r="C47" s="124" t="s">
        <v>206</v>
      </c>
      <c r="D47" s="124" t="s">
        <v>207</v>
      </c>
      <c r="E47" s="124"/>
      <c r="F47" s="124"/>
      <c r="G47" s="126" t="str">
        <f>IF(COUNTIF('Giriş Sayfası'!A:A,'bütç.konuşmayan tercih'!A47),"Tercihi var","Tercihte Bulunmamış")</f>
        <v>Tercihte Bulunmamış</v>
      </c>
    </row>
    <row r="48" spans="1:7">
      <c r="A48" s="123">
        <v>133</v>
      </c>
      <c r="B48" s="124" t="s">
        <v>104</v>
      </c>
      <c r="C48" s="124" t="s">
        <v>292</v>
      </c>
      <c r="D48" s="124" t="s">
        <v>293</v>
      </c>
      <c r="E48" s="124"/>
      <c r="F48" s="124"/>
      <c r="G48" s="126" t="str">
        <f>IF(COUNTIF('Giriş Sayfası'!A:A,'bütç.konuşmayan tercih'!A48),"Tercihi var","Tercihte Bulunmamış")</f>
        <v>Tercihi var</v>
      </c>
    </row>
    <row r="49" spans="1:7">
      <c r="A49" s="123">
        <v>134</v>
      </c>
      <c r="B49" s="124" t="s">
        <v>104</v>
      </c>
      <c r="C49" s="124" t="s">
        <v>773</v>
      </c>
      <c r="D49" s="124" t="s">
        <v>774</v>
      </c>
      <c r="E49" s="124"/>
      <c r="F49" s="124"/>
      <c r="G49" s="126" t="str">
        <f>IF(COUNTIF('Giriş Sayfası'!A:A,'bütç.konuşmayan tercih'!A49),"Tercihi var","Tercihte Bulunmamış")</f>
        <v>Tercihte Bulunmamış</v>
      </c>
    </row>
    <row r="50" spans="1:7">
      <c r="A50" s="123">
        <v>136</v>
      </c>
      <c r="B50" s="124" t="s">
        <v>104</v>
      </c>
      <c r="C50" s="124" t="s">
        <v>185</v>
      </c>
      <c r="D50" s="124" t="s">
        <v>186</v>
      </c>
      <c r="E50" s="124" t="s">
        <v>1037</v>
      </c>
      <c r="F50" s="124" t="s">
        <v>1038</v>
      </c>
      <c r="G50" s="126" t="str">
        <f>IF(COUNTIF('Giriş Sayfası'!A:A,'bütç.konuşmayan tercih'!A50),"Tercihi var","Tercihte Bulunmamış")</f>
        <v>Tercihte Bulunmamış</v>
      </c>
    </row>
    <row r="51" spans="1:7">
      <c r="A51" s="123">
        <v>138</v>
      </c>
      <c r="B51" s="124" t="s">
        <v>104</v>
      </c>
      <c r="C51" s="124" t="s">
        <v>780</v>
      </c>
      <c r="D51" s="124" t="s">
        <v>781</v>
      </c>
      <c r="E51" s="124"/>
      <c r="F51" s="124"/>
      <c r="G51" s="126" t="str">
        <f>IF(COUNTIF('Giriş Sayfası'!A:A,'bütç.konuşmayan tercih'!A51),"Tercihi var","Tercihte Bulunmamış")</f>
        <v>Tercihte Bulunmamış</v>
      </c>
    </row>
    <row r="52" spans="1:7">
      <c r="A52" s="123">
        <v>141</v>
      </c>
      <c r="B52" s="124" t="s">
        <v>104</v>
      </c>
      <c r="C52" s="124" t="s">
        <v>788</v>
      </c>
      <c r="D52" s="124" t="s">
        <v>279</v>
      </c>
      <c r="E52" s="124"/>
      <c r="F52" s="124"/>
      <c r="G52" s="126" t="str">
        <f>IF(COUNTIF('Giriş Sayfası'!A:A,'bütç.konuşmayan tercih'!A52),"Tercihi var","Tercihte Bulunmamış")</f>
        <v>Tercihi var</v>
      </c>
    </row>
    <row r="53" spans="1:7">
      <c r="A53" s="123">
        <v>142</v>
      </c>
      <c r="B53" s="124" t="s">
        <v>104</v>
      </c>
      <c r="C53" s="124" t="s">
        <v>295</v>
      </c>
      <c r="D53" s="124" t="s">
        <v>296</v>
      </c>
      <c r="E53" s="124" t="s">
        <v>1037</v>
      </c>
      <c r="F53" s="124" t="s">
        <v>1038</v>
      </c>
      <c r="G53" s="126" t="str">
        <f>IF(COUNTIF('Giriş Sayfası'!A:A,'bütç.konuşmayan tercih'!A53),"Tercihi var","Tercihte Bulunmamış")</f>
        <v>Tercihte Bulunmamış</v>
      </c>
    </row>
    <row r="54" spans="1:7">
      <c r="A54" s="123">
        <v>146</v>
      </c>
      <c r="B54" s="124" t="s">
        <v>104</v>
      </c>
      <c r="C54" s="124" t="s">
        <v>155</v>
      </c>
      <c r="D54" s="124" t="s">
        <v>231</v>
      </c>
      <c r="E54" s="124" t="s">
        <v>1053</v>
      </c>
      <c r="F54" s="124"/>
      <c r="G54" s="126" t="str">
        <f>IF(COUNTIF('Giriş Sayfası'!A:A,'bütç.konuşmayan tercih'!A54),"Tercihi var","Tercihte Bulunmamış")</f>
        <v>Tercihi var</v>
      </c>
    </row>
    <row r="55" spans="1:7">
      <c r="A55" s="123">
        <v>147</v>
      </c>
      <c r="B55" s="124" t="s">
        <v>104</v>
      </c>
      <c r="C55" s="124" t="s">
        <v>212</v>
      </c>
      <c r="D55" s="124" t="s">
        <v>213</v>
      </c>
      <c r="E55" s="124"/>
      <c r="F55" s="124"/>
      <c r="G55" s="126" t="str">
        <f>IF(COUNTIF('Giriş Sayfası'!A:A,'bütç.konuşmayan tercih'!A55),"Tercihi var","Tercihte Bulunmamış")</f>
        <v>Tercihte Bulunmamış</v>
      </c>
    </row>
    <row r="56" spans="1:7">
      <c r="A56" s="123">
        <v>148</v>
      </c>
      <c r="B56" s="124" t="s">
        <v>104</v>
      </c>
      <c r="C56" s="124" t="s">
        <v>344</v>
      </c>
      <c r="D56" s="124" t="s">
        <v>345</v>
      </c>
      <c r="E56" s="124" t="s">
        <v>1105</v>
      </c>
      <c r="F56" s="124" t="s">
        <v>1056</v>
      </c>
      <c r="G56" s="126" t="str">
        <f>IF(COUNTIF('Giriş Sayfası'!A:A,'bütç.konuşmayan tercih'!A56),"Tercihi var","Tercihte Bulunmamış")</f>
        <v>Tercihte Bulunmamış</v>
      </c>
    </row>
    <row r="57" spans="1:7">
      <c r="A57" s="123">
        <v>152</v>
      </c>
      <c r="B57" s="124" t="s">
        <v>104</v>
      </c>
      <c r="C57" s="124" t="s">
        <v>214</v>
      </c>
      <c r="D57" s="124" t="s">
        <v>215</v>
      </c>
      <c r="E57" s="124" t="s">
        <v>1053</v>
      </c>
      <c r="F57" s="124"/>
      <c r="G57" s="126" t="str">
        <f>IF(COUNTIF('Giriş Sayfası'!A:A,'bütç.konuşmayan tercih'!A57),"Tercihi var","Tercihte Bulunmamış")</f>
        <v>Tercihi var</v>
      </c>
    </row>
    <row r="58" spans="1:7">
      <c r="A58" s="123">
        <v>153</v>
      </c>
      <c r="B58" s="124" t="s">
        <v>104</v>
      </c>
      <c r="C58" s="124" t="s">
        <v>299</v>
      </c>
      <c r="D58" s="124" t="s">
        <v>300</v>
      </c>
      <c r="E58" s="124" t="s">
        <v>1037</v>
      </c>
      <c r="F58" s="124" t="s">
        <v>1038</v>
      </c>
      <c r="G58" s="126" t="str">
        <f>IF(COUNTIF('Giriş Sayfası'!A:A,'bütç.konuşmayan tercih'!A58),"Tercihi var","Tercihte Bulunmamış")</f>
        <v>Tercihte Bulunmamış</v>
      </c>
    </row>
    <row r="59" spans="1:7">
      <c r="A59" s="123">
        <v>155</v>
      </c>
      <c r="B59" s="124" t="s">
        <v>104</v>
      </c>
      <c r="C59" s="124" t="s">
        <v>800</v>
      </c>
      <c r="D59" s="124" t="s">
        <v>113</v>
      </c>
      <c r="E59" s="124"/>
      <c r="F59" s="124" t="s">
        <v>1065</v>
      </c>
      <c r="G59" s="126" t="str">
        <f>IF(COUNTIF('Giriş Sayfası'!A:A,'bütç.konuşmayan tercih'!A59),"Tercihi var","Tercihte Bulunmamış")</f>
        <v>Tercihi var</v>
      </c>
    </row>
    <row r="60" spans="1:7">
      <c r="A60" s="123">
        <v>161</v>
      </c>
      <c r="B60" s="124" t="s">
        <v>111</v>
      </c>
      <c r="C60" s="124" t="s">
        <v>802</v>
      </c>
      <c r="D60" s="124" t="s">
        <v>282</v>
      </c>
      <c r="E60" s="124"/>
      <c r="F60" s="124"/>
      <c r="G60" s="126" t="str">
        <f>IF(COUNTIF('Giriş Sayfası'!A:A,'bütç.konuşmayan tercih'!A60),"Tercihi var","Tercihte Bulunmamış")</f>
        <v>Tercihi var</v>
      </c>
    </row>
    <row r="61" spans="1:7">
      <c r="A61" s="123">
        <v>163</v>
      </c>
      <c r="B61" s="124" t="s">
        <v>111</v>
      </c>
      <c r="C61" s="124" t="s">
        <v>221</v>
      </c>
      <c r="D61" s="124" t="s">
        <v>84</v>
      </c>
      <c r="E61" s="124" t="s">
        <v>1037</v>
      </c>
      <c r="F61" s="124" t="s">
        <v>1038</v>
      </c>
      <c r="G61" s="126" t="str">
        <f>IF(COUNTIF('Giriş Sayfası'!A:A,'bütç.konuşmayan tercih'!A61),"Tercihi var","Tercihte Bulunmamış")</f>
        <v>Tercihi var</v>
      </c>
    </row>
    <row r="62" spans="1:7">
      <c r="A62" s="123">
        <v>168</v>
      </c>
      <c r="B62" s="124" t="s">
        <v>111</v>
      </c>
      <c r="C62" s="124" t="s">
        <v>71</v>
      </c>
      <c r="D62" s="124" t="s">
        <v>86</v>
      </c>
      <c r="E62" s="124"/>
      <c r="F62" s="124"/>
      <c r="G62" s="126" t="str">
        <f>IF(COUNTIF('Giriş Sayfası'!A:A,'bütç.konuşmayan tercih'!A62),"Tercihi var","Tercihte Bulunmamış")</f>
        <v>Tercihi var</v>
      </c>
    </row>
    <row r="63" spans="1:7">
      <c r="A63" s="123">
        <v>169</v>
      </c>
      <c r="B63" s="124" t="s">
        <v>112</v>
      </c>
      <c r="C63" s="124" t="s">
        <v>222</v>
      </c>
      <c r="D63" s="124" t="s">
        <v>309</v>
      </c>
      <c r="E63" s="124" t="s">
        <v>1053</v>
      </c>
      <c r="F63" s="124"/>
      <c r="G63" s="126" t="str">
        <f>IF(COUNTIF('Giriş Sayfası'!A:A,'bütç.konuşmayan tercih'!A63),"Tercihi var","Tercihte Bulunmamış")</f>
        <v>Tercihi var</v>
      </c>
    </row>
    <row r="64" spans="1:7">
      <c r="A64" s="123">
        <v>173</v>
      </c>
      <c r="B64" s="124" t="s">
        <v>112</v>
      </c>
      <c r="C64" s="124" t="s">
        <v>815</v>
      </c>
      <c r="D64" s="124" t="s">
        <v>816</v>
      </c>
      <c r="E64" s="124"/>
      <c r="F64" s="124"/>
      <c r="G64" s="126" t="str">
        <f>IF(COUNTIF('Giriş Sayfası'!A:A,'bütç.konuşmayan tercih'!A64),"Tercihi var","Tercihte Bulunmamış")</f>
        <v>Tercihi var</v>
      </c>
    </row>
    <row r="65" spans="1:7">
      <c r="A65" s="123">
        <v>174</v>
      </c>
      <c r="B65" s="124" t="s">
        <v>112</v>
      </c>
      <c r="C65" s="124" t="s">
        <v>115</v>
      </c>
      <c r="D65" s="124" t="s">
        <v>223</v>
      </c>
      <c r="E65" s="124" t="s">
        <v>1037</v>
      </c>
      <c r="F65" s="124" t="s">
        <v>1038</v>
      </c>
      <c r="G65" s="126" t="str">
        <f>IF(COUNTIF('Giriş Sayfası'!A:A,'bütç.konuşmayan tercih'!A65),"Tercihi var","Tercihte Bulunmamış")</f>
        <v>Tercihte Bulunmamış</v>
      </c>
    </row>
    <row r="66" spans="1:7">
      <c r="A66" s="123">
        <v>180</v>
      </c>
      <c r="B66" s="124" t="s">
        <v>118</v>
      </c>
      <c r="C66" s="124" t="s">
        <v>155</v>
      </c>
      <c r="D66" s="124" t="s">
        <v>827</v>
      </c>
      <c r="E66" s="124" t="s">
        <v>1053</v>
      </c>
      <c r="F66" s="124"/>
      <c r="G66" s="126" t="str">
        <f>IF(COUNTIF('Giriş Sayfası'!A:A,'bütç.konuşmayan tercih'!A66),"Tercihi var","Tercihte Bulunmamış")</f>
        <v>Tercihte Bulunmamış</v>
      </c>
    </row>
    <row r="67" spans="1:7">
      <c r="A67" s="123">
        <v>182</v>
      </c>
      <c r="B67" s="124" t="s">
        <v>119</v>
      </c>
      <c r="C67" s="124" t="s">
        <v>121</v>
      </c>
      <c r="D67" s="124" t="s">
        <v>122</v>
      </c>
      <c r="E67" s="124"/>
      <c r="F67" s="124"/>
      <c r="G67" s="126" t="str">
        <f>IF(COUNTIF('Giriş Sayfası'!A:A,'bütç.konuşmayan tercih'!A67),"Tercihi var","Tercihte Bulunmamış")</f>
        <v>Tercihte Bulunmamış</v>
      </c>
    </row>
    <row r="68" spans="1:7">
      <c r="A68" s="123">
        <v>183</v>
      </c>
      <c r="B68" s="124" t="s">
        <v>123</v>
      </c>
      <c r="C68" s="124" t="s">
        <v>124</v>
      </c>
      <c r="D68" s="124" t="s">
        <v>100</v>
      </c>
      <c r="E68" s="124" t="s">
        <v>1053</v>
      </c>
      <c r="F68" s="124"/>
      <c r="G68" s="126" t="str">
        <f>IF(COUNTIF('Giriş Sayfası'!A:A,'bütç.konuşmayan tercih'!A68),"Tercihi var","Tercihte Bulunmamış")</f>
        <v>Tercihi var</v>
      </c>
    </row>
    <row r="69" spans="1:7">
      <c r="A69" s="123">
        <v>186</v>
      </c>
      <c r="B69" s="124" t="s">
        <v>123</v>
      </c>
      <c r="C69" s="124" t="s">
        <v>315</v>
      </c>
      <c r="D69" s="124" t="s">
        <v>18</v>
      </c>
      <c r="E69" s="124" t="s">
        <v>1037</v>
      </c>
      <c r="F69" s="124" t="s">
        <v>1038</v>
      </c>
      <c r="G69" s="126" t="str">
        <f>IF(COUNTIF('Giriş Sayfası'!A:A,'bütç.konuşmayan tercih'!A69),"Tercihi var","Tercihte Bulunmamış")</f>
        <v>Tercihi var</v>
      </c>
    </row>
    <row r="70" spans="1:7">
      <c r="A70" s="123">
        <v>188</v>
      </c>
      <c r="B70" s="124" t="s">
        <v>123</v>
      </c>
      <c r="C70" s="124" t="s">
        <v>126</v>
      </c>
      <c r="D70" s="124" t="s">
        <v>127</v>
      </c>
      <c r="E70" s="124"/>
      <c r="F70" s="124"/>
      <c r="G70" s="126" t="str">
        <f>IF(COUNTIF('Giriş Sayfası'!A:A,'bütç.konuşmayan tercih'!A70),"Tercihi var","Tercihte Bulunmamış")</f>
        <v>Tercihte Bulunmamış</v>
      </c>
    </row>
    <row r="71" spans="1:7">
      <c r="A71" s="123">
        <v>189</v>
      </c>
      <c r="B71" s="124" t="s">
        <v>128</v>
      </c>
      <c r="C71" s="124" t="s">
        <v>197</v>
      </c>
      <c r="D71" s="124" t="s">
        <v>160</v>
      </c>
      <c r="E71" s="124" t="s">
        <v>1036</v>
      </c>
      <c r="F71" s="124"/>
      <c r="G71" s="126" t="str">
        <f>IF(COUNTIF('Giriş Sayfası'!A:A,'bütç.konuşmayan tercih'!A71),"Tercihi var","Tercihte Bulunmamış")</f>
        <v>Tercihi var</v>
      </c>
    </row>
    <row r="72" spans="1:7">
      <c r="A72" s="123">
        <v>198</v>
      </c>
      <c r="B72" s="124" t="s">
        <v>133</v>
      </c>
      <c r="C72" s="124" t="s">
        <v>323</v>
      </c>
      <c r="D72" s="124" t="s">
        <v>33</v>
      </c>
      <c r="E72" s="124"/>
      <c r="F72" s="124"/>
      <c r="G72" s="126" t="str">
        <f>IF(COUNTIF('Giriş Sayfası'!A:A,'bütç.konuşmayan tercih'!A72),"Tercihi var","Tercihte Bulunmamış")</f>
        <v>Tercihi var</v>
      </c>
    </row>
    <row r="73" spans="1:7">
      <c r="A73" s="123">
        <v>201</v>
      </c>
      <c r="B73" s="124" t="s">
        <v>136</v>
      </c>
      <c r="C73" s="124" t="s">
        <v>325</v>
      </c>
      <c r="D73" s="124" t="s">
        <v>131</v>
      </c>
      <c r="E73" s="124"/>
      <c r="F73" s="124"/>
      <c r="G73" s="126" t="str">
        <f>IF(COUNTIF('Giriş Sayfası'!A:A,'bütç.konuşmayan tercih'!A73),"Tercihi var","Tercihte Bulunmamış")</f>
        <v>Tercihte Bulunmamış</v>
      </c>
    </row>
    <row r="74" spans="1:7">
      <c r="A74" s="123">
        <v>202</v>
      </c>
      <c r="B74" s="124" t="s">
        <v>136</v>
      </c>
      <c r="C74" s="124" t="s">
        <v>232</v>
      </c>
      <c r="D74" s="124" t="s">
        <v>273</v>
      </c>
      <c r="E74" s="124" t="s">
        <v>1053</v>
      </c>
      <c r="F74" s="124"/>
      <c r="G74" s="126" t="str">
        <f>IF(COUNTIF('Giriş Sayfası'!A:A,'bütç.konuşmayan tercih'!A74),"Tercihi var","Tercihte Bulunmamış")</f>
        <v>Tercihte Bulunmamış</v>
      </c>
    </row>
    <row r="75" spans="1:7">
      <c r="A75" s="123">
        <v>203</v>
      </c>
      <c r="B75" s="124" t="s">
        <v>136</v>
      </c>
      <c r="C75" s="124" t="s">
        <v>326</v>
      </c>
      <c r="D75" s="124" t="s">
        <v>327</v>
      </c>
      <c r="E75" s="124"/>
      <c r="F75" s="124"/>
      <c r="G75" s="126" t="str">
        <f>IF(COUNTIF('Giriş Sayfası'!A:A,'bütç.konuşmayan tercih'!A75),"Tercihi var","Tercihte Bulunmamış")</f>
        <v>Tercihte Bulunmamış</v>
      </c>
    </row>
    <row r="76" spans="1:7">
      <c r="A76" s="123">
        <v>214</v>
      </c>
      <c r="B76" s="124" t="s">
        <v>140</v>
      </c>
      <c r="C76" s="124" t="s">
        <v>192</v>
      </c>
      <c r="D76" s="124" t="s">
        <v>16</v>
      </c>
      <c r="E76" s="124"/>
      <c r="F76" s="124"/>
      <c r="G76" s="126" t="str">
        <f>IF(COUNTIF('Giriş Sayfası'!A:A,'bütç.konuşmayan tercih'!A76),"Tercihi var","Tercihte Bulunmamış")</f>
        <v>Tercihi var</v>
      </c>
    </row>
    <row r="77" spans="1:7">
      <c r="A77" s="123">
        <v>215</v>
      </c>
      <c r="B77" s="124" t="s">
        <v>140</v>
      </c>
      <c r="C77" s="124" t="s">
        <v>141</v>
      </c>
      <c r="D77" s="124" t="s">
        <v>142</v>
      </c>
      <c r="E77" s="124"/>
      <c r="F77" s="124" t="s">
        <v>1056</v>
      </c>
      <c r="G77" s="126" t="str">
        <f>IF(COUNTIF('Giriş Sayfası'!A:A,'bütç.konuşmayan tercih'!A77),"Tercihi var","Tercihte Bulunmamış")</f>
        <v>Tercihi var</v>
      </c>
    </row>
    <row r="78" spans="1:7">
      <c r="A78" s="123">
        <v>218</v>
      </c>
      <c r="B78" s="124" t="s">
        <v>143</v>
      </c>
      <c r="C78" s="124" t="s">
        <v>24</v>
      </c>
      <c r="D78" s="124" t="s">
        <v>229</v>
      </c>
      <c r="E78" s="124"/>
      <c r="F78" s="124"/>
      <c r="G78" s="126" t="str">
        <f>IF(COUNTIF('Giriş Sayfası'!A:A,'bütç.konuşmayan tercih'!A78),"Tercihi var","Tercihte Bulunmamış")</f>
        <v>Tercihi var</v>
      </c>
    </row>
    <row r="79" spans="1:7">
      <c r="A79" s="123">
        <v>219</v>
      </c>
      <c r="B79" s="124" t="s">
        <v>143</v>
      </c>
      <c r="C79" s="124" t="s">
        <v>337</v>
      </c>
      <c r="D79" s="124" t="s">
        <v>72</v>
      </c>
      <c r="E79" s="124"/>
      <c r="F79" s="124" t="s">
        <v>1056</v>
      </c>
      <c r="G79" s="126" t="str">
        <f>IF(COUNTIF('Giriş Sayfası'!A:A,'bütç.konuşmayan tercih'!A79),"Tercihi var","Tercihte Bulunmamış")</f>
        <v>Tercihi var</v>
      </c>
    </row>
    <row r="80" spans="1:7">
      <c r="A80" s="123">
        <v>220</v>
      </c>
      <c r="B80" s="124" t="s">
        <v>143</v>
      </c>
      <c r="C80" s="124" t="s">
        <v>338</v>
      </c>
      <c r="D80" s="124" t="s">
        <v>46</v>
      </c>
      <c r="E80" s="124" t="s">
        <v>1036</v>
      </c>
      <c r="F80" s="124"/>
      <c r="G80" s="126" t="str">
        <f>IF(COUNTIF('Giriş Sayfası'!A:A,'bütç.konuşmayan tercih'!A80),"Tercihi var","Tercihte Bulunmamış")</f>
        <v>Tercihte Bulunmamış</v>
      </c>
    </row>
    <row r="81" spans="1:7">
      <c r="A81" s="123">
        <v>222</v>
      </c>
      <c r="B81" s="124" t="s">
        <v>143</v>
      </c>
      <c r="C81" s="124" t="s">
        <v>266</v>
      </c>
      <c r="D81" s="124" t="s">
        <v>40</v>
      </c>
      <c r="E81" s="124"/>
      <c r="F81" s="124"/>
      <c r="G81" s="126" t="str">
        <f>IF(COUNTIF('Giriş Sayfası'!A:A,'bütç.konuşmayan tercih'!A81),"Tercihi var","Tercihte Bulunmamış")</f>
        <v>Tercihte Bulunmamış</v>
      </c>
    </row>
    <row r="82" spans="1:7">
      <c r="A82" s="123">
        <v>233</v>
      </c>
      <c r="B82" s="124" t="s">
        <v>150</v>
      </c>
      <c r="C82" s="124" t="s">
        <v>869</v>
      </c>
      <c r="D82" s="124" t="s">
        <v>667</v>
      </c>
      <c r="E82" s="124"/>
      <c r="F82" s="124"/>
      <c r="G82" s="126" t="str">
        <f>IF(COUNTIF('Giriş Sayfası'!A:A,'bütç.konuşmayan tercih'!A82),"Tercihi var","Tercihte Bulunmamış")</f>
        <v>Tercihi var</v>
      </c>
    </row>
    <row r="83" spans="1:7">
      <c r="A83" s="123">
        <v>237</v>
      </c>
      <c r="B83" s="124" t="s">
        <v>139</v>
      </c>
      <c r="C83" s="124" t="s">
        <v>873</v>
      </c>
      <c r="D83" s="124" t="s">
        <v>874</v>
      </c>
      <c r="E83" s="124"/>
      <c r="F83" s="124"/>
      <c r="G83" s="126" t="str">
        <f>IF(COUNTIF('Giriş Sayfası'!A:A,'bütç.konuşmayan tercih'!A83),"Tercihi var","Tercihte Bulunmamış")</f>
        <v>Tercihi var</v>
      </c>
    </row>
    <row r="84" spans="1:7">
      <c r="A84" s="123">
        <v>240</v>
      </c>
      <c r="B84" s="124" t="s">
        <v>152</v>
      </c>
      <c r="C84" s="124" t="s">
        <v>195</v>
      </c>
      <c r="D84" s="124" t="s">
        <v>877</v>
      </c>
      <c r="E84" s="124"/>
      <c r="F84" s="124"/>
      <c r="G84" s="126" t="str">
        <f>IF(COUNTIF('Giriş Sayfası'!A:A,'bütç.konuşmayan tercih'!A84),"Tercihi var","Tercihte Bulunmamış")</f>
        <v>Tercihi var</v>
      </c>
    </row>
    <row r="85" spans="1:7">
      <c r="A85" s="123">
        <v>241</v>
      </c>
      <c r="B85" s="124" t="s">
        <v>152</v>
      </c>
      <c r="C85" s="124" t="s">
        <v>203</v>
      </c>
      <c r="D85" s="124" t="s">
        <v>204</v>
      </c>
      <c r="E85" s="124" t="s">
        <v>1052</v>
      </c>
      <c r="F85" s="124"/>
      <c r="G85" s="126" t="str">
        <f>IF(COUNTIF('Giriş Sayfası'!A:A,'bütç.konuşmayan tercih'!A85),"Tercihi var","Tercihte Bulunmamış")</f>
        <v>Tercihi var</v>
      </c>
    </row>
    <row r="86" spans="1:7">
      <c r="A86" s="123">
        <v>242</v>
      </c>
      <c r="B86" s="124" t="s">
        <v>152</v>
      </c>
      <c r="C86" s="124" t="s">
        <v>109</v>
      </c>
      <c r="D86" s="124" t="s">
        <v>110</v>
      </c>
      <c r="E86" s="124" t="s">
        <v>1037</v>
      </c>
      <c r="F86" s="124" t="s">
        <v>1038</v>
      </c>
      <c r="G86" s="126" t="str">
        <f>IF(COUNTIF('Giriş Sayfası'!A:A,'bütç.konuşmayan tercih'!A86),"Tercihi var","Tercihte Bulunmamış")</f>
        <v>Tercihi var</v>
      </c>
    </row>
    <row r="87" spans="1:7">
      <c r="A87" s="123">
        <v>246</v>
      </c>
      <c r="B87" s="124" t="s">
        <v>153</v>
      </c>
      <c r="C87" s="124" t="s">
        <v>230</v>
      </c>
      <c r="D87" s="124" t="s">
        <v>79</v>
      </c>
      <c r="E87" s="124" t="s">
        <v>1037</v>
      </c>
      <c r="F87" s="124" t="s">
        <v>1038</v>
      </c>
      <c r="G87" s="126" t="str">
        <f>IF(COUNTIF('Giriş Sayfası'!A:A,'bütç.konuşmayan tercih'!A87),"Tercihi var","Tercihte Bulunmamış")</f>
        <v>Tercihi var</v>
      </c>
    </row>
    <row r="88" spans="1:7">
      <c r="A88" s="123">
        <v>247</v>
      </c>
      <c r="B88" s="124" t="s">
        <v>154</v>
      </c>
      <c r="C88" s="124" t="s">
        <v>351</v>
      </c>
      <c r="D88" s="124" t="s">
        <v>16</v>
      </c>
      <c r="E88" s="124"/>
      <c r="F88" s="124"/>
      <c r="G88" s="126" t="str">
        <f>IF(COUNTIF('Giriş Sayfası'!A:A,'bütç.konuşmayan tercih'!A88),"Tercihi var","Tercihte Bulunmamış")</f>
        <v>Tercihte Bulunmamış</v>
      </c>
    </row>
    <row r="89" spans="1:7">
      <c r="A89" s="123">
        <v>248</v>
      </c>
      <c r="B89" s="124" t="s">
        <v>154</v>
      </c>
      <c r="C89" s="124" t="s">
        <v>352</v>
      </c>
      <c r="D89" s="124" t="s">
        <v>353</v>
      </c>
      <c r="E89" s="124" t="s">
        <v>1037</v>
      </c>
      <c r="F89" s="124" t="s">
        <v>1038</v>
      </c>
      <c r="G89" s="126" t="str">
        <f>IF(COUNTIF('Giriş Sayfası'!A:A,'bütç.konuşmayan tercih'!A89),"Tercihi var","Tercihte Bulunmamış")</f>
        <v>Tercihi var</v>
      </c>
    </row>
    <row r="90" spans="1:7">
      <c r="A90" s="123">
        <v>251</v>
      </c>
      <c r="B90" s="124" t="s">
        <v>154</v>
      </c>
      <c r="C90" s="124" t="s">
        <v>56</v>
      </c>
      <c r="D90" s="124" t="s">
        <v>884</v>
      </c>
      <c r="E90" s="124"/>
      <c r="F90" s="124"/>
      <c r="G90" s="126" t="str">
        <f>IF(COUNTIF('Giriş Sayfası'!A:A,'bütç.konuşmayan tercih'!A90),"Tercihi var","Tercihte Bulunmamış")</f>
        <v>Tercihte Bulunmamış</v>
      </c>
    </row>
    <row r="91" spans="1:7">
      <c r="A91" s="123">
        <v>255</v>
      </c>
      <c r="B91" s="124" t="s">
        <v>158</v>
      </c>
      <c r="C91" s="124" t="s">
        <v>360</v>
      </c>
      <c r="D91" s="124" t="s">
        <v>361</v>
      </c>
      <c r="E91" s="124"/>
      <c r="F91" s="124"/>
      <c r="G91" s="126" t="str">
        <f>IF(COUNTIF('Giriş Sayfası'!A:A,'bütç.konuşmayan tercih'!A91),"Tercihi var","Tercihte Bulunmamış")</f>
        <v>Tercihte Bulunmamış</v>
      </c>
    </row>
    <row r="92" spans="1:7">
      <c r="A92" s="123">
        <v>256</v>
      </c>
      <c r="B92" s="124" t="s">
        <v>158</v>
      </c>
      <c r="C92" s="124" t="s">
        <v>56</v>
      </c>
      <c r="D92" s="124" t="s">
        <v>190</v>
      </c>
      <c r="E92" s="124" t="s">
        <v>1053</v>
      </c>
      <c r="F92" s="124"/>
      <c r="G92" s="126" t="str">
        <f>IF(COUNTIF('Giriş Sayfası'!A:A,'bütç.konuşmayan tercih'!A92),"Tercihi var","Tercihte Bulunmamış")</f>
        <v>Tercihi var</v>
      </c>
    </row>
    <row r="93" spans="1:7">
      <c r="A93" s="123">
        <v>257</v>
      </c>
      <c r="B93" s="124" t="s">
        <v>159</v>
      </c>
      <c r="C93" s="124" t="s">
        <v>890</v>
      </c>
      <c r="D93" s="124" t="s">
        <v>891</v>
      </c>
      <c r="E93" s="124"/>
      <c r="F93" s="124"/>
      <c r="G93" s="126" t="str">
        <f>IF(COUNTIF('Giriş Sayfası'!A:A,'bütç.konuşmayan tercih'!A93),"Tercihi var","Tercihte Bulunmamış")</f>
        <v>Tercihi var</v>
      </c>
    </row>
    <row r="94" spans="1:7">
      <c r="A94" s="123">
        <v>260</v>
      </c>
      <c r="B94" s="124" t="s">
        <v>159</v>
      </c>
      <c r="C94" s="124" t="s">
        <v>363</v>
      </c>
      <c r="D94" s="124" t="s">
        <v>364</v>
      </c>
      <c r="E94" s="124"/>
      <c r="F94" s="124"/>
      <c r="G94" s="126" t="str">
        <f>IF(COUNTIF('Giriş Sayfası'!A:A,'bütç.konuşmayan tercih'!A94),"Tercihi var","Tercihte Bulunmamış")</f>
        <v>Tercihi var</v>
      </c>
    </row>
    <row r="95" spans="1:7">
      <c r="A95" s="123">
        <v>261</v>
      </c>
      <c r="B95" s="124" t="s">
        <v>159</v>
      </c>
      <c r="C95" s="124" t="s">
        <v>161</v>
      </c>
      <c r="D95" s="124" t="s">
        <v>233</v>
      </c>
      <c r="E95" s="124" t="s">
        <v>1053</v>
      </c>
      <c r="F95" s="124"/>
      <c r="G95" s="126" t="str">
        <f>IF(COUNTIF('Giriş Sayfası'!A:A,'bütç.konuşmayan tercih'!A95),"Tercihi var","Tercihte Bulunmamış")</f>
        <v>Tercihi var</v>
      </c>
    </row>
    <row r="96" spans="1:7">
      <c r="A96" s="123">
        <v>262</v>
      </c>
      <c r="B96" s="124" t="s">
        <v>159</v>
      </c>
      <c r="C96" s="124" t="s">
        <v>234</v>
      </c>
      <c r="D96" s="124" t="s">
        <v>20</v>
      </c>
      <c r="E96" s="124" t="s">
        <v>1069</v>
      </c>
      <c r="F96" s="124"/>
      <c r="G96" s="126" t="str">
        <f>IF(COUNTIF('Giriş Sayfası'!A:A,'bütç.konuşmayan tercih'!A96),"Tercihi var","Tercihte Bulunmamış")</f>
        <v>Tercihi var</v>
      </c>
    </row>
    <row r="97" spans="1:7">
      <c r="A97" s="123">
        <v>264</v>
      </c>
      <c r="B97" s="124" t="s">
        <v>159</v>
      </c>
      <c r="C97" s="124" t="s">
        <v>126</v>
      </c>
      <c r="D97" s="124" t="s">
        <v>199</v>
      </c>
      <c r="E97" s="124"/>
      <c r="F97" s="124" t="s">
        <v>1056</v>
      </c>
      <c r="G97" s="126" t="str">
        <f>IF(COUNTIF('Giriş Sayfası'!A:A,'bütç.konuşmayan tercih'!A97),"Tercihi var","Tercihte Bulunmamış")</f>
        <v>Tercihte Bulunmamış</v>
      </c>
    </row>
    <row r="98" spans="1:7">
      <c r="A98" s="123">
        <v>265</v>
      </c>
      <c r="B98" s="124" t="s">
        <v>898</v>
      </c>
      <c r="C98" s="124" t="s">
        <v>899</v>
      </c>
      <c r="D98" s="124" t="s">
        <v>900</v>
      </c>
      <c r="E98" s="124"/>
      <c r="F98" s="124"/>
      <c r="G98" s="126" t="str">
        <f>IF(COUNTIF('Giriş Sayfası'!A:A,'bütç.konuşmayan tercih'!A98),"Tercihi var","Tercihte Bulunmamış")</f>
        <v>Tercihte Bulunmamış</v>
      </c>
    </row>
    <row r="99" spans="1:7">
      <c r="A99" s="123">
        <v>267</v>
      </c>
      <c r="B99" s="124" t="s">
        <v>162</v>
      </c>
      <c r="C99" s="124" t="s">
        <v>216</v>
      </c>
      <c r="D99" s="124" t="s">
        <v>100</v>
      </c>
      <c r="E99" s="124" t="s">
        <v>1098</v>
      </c>
      <c r="F99" s="124"/>
      <c r="G99" s="126" t="str">
        <f>IF(COUNTIF('Giriş Sayfası'!A:A,'bütç.konuşmayan tercih'!A99),"Tercihi var","Tercihte Bulunmamış")</f>
        <v>Tercihte Bulunmamış</v>
      </c>
    </row>
    <row r="100" spans="1:7">
      <c r="A100" s="123">
        <v>273</v>
      </c>
      <c r="B100" s="124" t="s">
        <v>164</v>
      </c>
      <c r="C100" s="124" t="s">
        <v>367</v>
      </c>
      <c r="D100" s="124" t="s">
        <v>368</v>
      </c>
      <c r="E100" s="124" t="s">
        <v>1053</v>
      </c>
      <c r="F100" s="124"/>
      <c r="G100" s="126" t="str">
        <f>IF(COUNTIF('Giriş Sayfası'!A:A,'bütç.konuşmayan tercih'!A100),"Tercihi var","Tercihte Bulunmamış")</f>
        <v>Tercihte Bulunmamış</v>
      </c>
    </row>
    <row r="101" spans="1:7">
      <c r="A101" s="123">
        <v>276</v>
      </c>
      <c r="B101" s="124" t="s">
        <v>165</v>
      </c>
      <c r="C101" s="124" t="s">
        <v>235</v>
      </c>
      <c r="D101" s="124" t="s">
        <v>18</v>
      </c>
      <c r="E101" s="124"/>
      <c r="F101" s="124" t="s">
        <v>1065</v>
      </c>
      <c r="G101" s="126" t="str">
        <f>IF(COUNTIF('Giriş Sayfası'!A:A,'bütç.konuşmayan tercih'!A101),"Tercihi var","Tercihte Bulunmamış")</f>
        <v>Tercihte Bulunmamış</v>
      </c>
    </row>
    <row r="102" spans="1:7">
      <c r="A102" s="123">
        <v>279</v>
      </c>
      <c r="B102" s="124" t="s">
        <v>167</v>
      </c>
      <c r="C102" s="124" t="s">
        <v>915</v>
      </c>
      <c r="D102" s="124" t="s">
        <v>916</v>
      </c>
      <c r="E102" s="124"/>
      <c r="F102" s="124" t="s">
        <v>1056</v>
      </c>
      <c r="G102" s="126" t="str">
        <f>IF(COUNTIF('Giriş Sayfası'!A:A,'bütç.konuşmayan tercih'!A102),"Tercihi var","Tercihte Bulunmamış")</f>
        <v>Tercihte Bulunmamış</v>
      </c>
    </row>
    <row r="103" spans="1:7">
      <c r="A103" s="123">
        <v>280</v>
      </c>
      <c r="B103" s="124" t="s">
        <v>167</v>
      </c>
      <c r="C103" s="124" t="s">
        <v>918</v>
      </c>
      <c r="D103" s="124" t="s">
        <v>919</v>
      </c>
      <c r="E103" s="124"/>
      <c r="F103" s="124"/>
      <c r="G103" s="126" t="str">
        <f>IF(COUNTIF('Giriş Sayfası'!A:A,'bütç.konuşmayan tercih'!A103),"Tercihi var","Tercihte Bulunmamış")</f>
        <v>Tercihi var</v>
      </c>
    </row>
    <row r="104" spans="1:7">
      <c r="A104" s="123">
        <v>282</v>
      </c>
      <c r="B104" s="124" t="s">
        <v>168</v>
      </c>
      <c r="C104" s="124" t="s">
        <v>924</v>
      </c>
      <c r="D104" s="124" t="s">
        <v>16</v>
      </c>
      <c r="E104" s="124" t="s">
        <v>1037</v>
      </c>
      <c r="F104" s="124" t="s">
        <v>1038</v>
      </c>
      <c r="G104" s="126" t="str">
        <f>IF(COUNTIF('Giriş Sayfası'!A:A,'bütç.konuşmayan tercih'!A104),"Tercihi var","Tercihte Bulunmamış")</f>
        <v>Tercihte Bulunmamış</v>
      </c>
    </row>
    <row r="105" spans="1:7">
      <c r="A105" s="123">
        <v>283</v>
      </c>
      <c r="B105" s="124" t="s">
        <v>169</v>
      </c>
      <c r="C105" s="124" t="s">
        <v>236</v>
      </c>
      <c r="D105" s="124" t="s">
        <v>55</v>
      </c>
      <c r="E105" s="124" t="s">
        <v>1093</v>
      </c>
      <c r="F105" s="124"/>
      <c r="G105" s="126" t="str">
        <f>IF(COUNTIF('Giriş Sayfası'!A:A,'bütç.konuşmayan tercih'!A105),"Tercihi var","Tercihte Bulunmamış")</f>
        <v>Tercihte Bulunmamış</v>
      </c>
    </row>
    <row r="106" spans="1:7">
      <c r="A106" s="123">
        <v>284</v>
      </c>
      <c r="B106" s="124" t="s">
        <v>169</v>
      </c>
      <c r="C106" s="124" t="s">
        <v>170</v>
      </c>
      <c r="D106" s="124" t="s">
        <v>171</v>
      </c>
      <c r="E106" s="124" t="s">
        <v>1053</v>
      </c>
      <c r="F106" s="124"/>
      <c r="G106" s="126" t="str">
        <f>IF(COUNTIF('Giriş Sayfası'!A:A,'bütç.konuşmayan tercih'!A106),"Tercihi var","Tercihte Bulunmamış")</f>
        <v>Tercihi var</v>
      </c>
    </row>
    <row r="107" spans="1:7">
      <c r="A107" s="123">
        <v>289</v>
      </c>
      <c r="B107" s="124" t="s">
        <v>37</v>
      </c>
      <c r="C107" s="124" t="s">
        <v>961</v>
      </c>
      <c r="D107" s="124" t="s">
        <v>962</v>
      </c>
      <c r="E107" s="124"/>
      <c r="F107" s="124"/>
      <c r="G107" s="126" t="str">
        <f>IF(COUNTIF('Giriş Sayfası'!A:A,'bütç.konuşmayan tercih'!A107),"Tercihi var","Tercihte Bulunmamış")</f>
        <v>Tercihte Bulunmamış</v>
      </c>
    </row>
  </sheetData>
  <autoFilter ref="A2:G107"/>
  <mergeCells count="1">
    <mergeCell ref="A1:F1"/>
  </mergeCells>
  <pageMargins left="0.19685039370078741" right="0.19685039370078741" top="0.19685039370078741" bottom="0.19685039370078741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view="pageBreakPreview" zoomScaleNormal="100" zoomScaleSheetLayoutView="100" workbookViewId="0">
      <selection activeCell="E6" sqref="E6"/>
    </sheetView>
  </sheetViews>
  <sheetFormatPr defaultRowHeight="18.75"/>
  <cols>
    <col min="1" max="1" width="5.5703125" style="42" bestFit="1" customWidth="1"/>
    <col min="2" max="2" width="7.42578125" style="42" customWidth="1"/>
    <col min="3" max="3" width="12.85546875" style="135" customWidth="1"/>
    <col min="4" max="4" width="14.28515625" style="135" customWidth="1"/>
    <col min="5" max="5" width="16" style="135" customWidth="1"/>
    <col min="6" max="6" width="17" style="135" customWidth="1"/>
    <col min="7" max="7" width="8.140625" style="135" customWidth="1"/>
    <col min="8" max="8" width="20.5703125" style="135" customWidth="1"/>
    <col min="9" max="16384" width="9.140625" style="42"/>
  </cols>
  <sheetData>
    <row r="1" spans="1:8" ht="27" customHeight="1">
      <c r="B1" s="179" t="s">
        <v>1437</v>
      </c>
      <c r="C1" s="179"/>
      <c r="D1" s="179"/>
      <c r="E1" s="179"/>
      <c r="F1" s="179"/>
      <c r="G1" s="179"/>
      <c r="H1" s="179"/>
    </row>
    <row r="2" spans="1:8">
      <c r="A2" s="127" t="s">
        <v>1137</v>
      </c>
      <c r="B2" s="127" t="s">
        <v>1435</v>
      </c>
      <c r="C2" s="131" t="s">
        <v>0</v>
      </c>
      <c r="D2" s="131" t="s">
        <v>1</v>
      </c>
      <c r="E2" s="131" t="s">
        <v>1168</v>
      </c>
      <c r="F2" s="132" t="s">
        <v>1138</v>
      </c>
      <c r="G2" s="35" t="s">
        <v>1038</v>
      </c>
      <c r="H2" s="35" t="s">
        <v>1436</v>
      </c>
    </row>
    <row r="3" spans="1:8" ht="17.25" customHeight="1">
      <c r="A3" s="128">
        <v>8</v>
      </c>
      <c r="B3" s="128">
        <v>1</v>
      </c>
      <c r="C3" s="133" t="s">
        <v>14</v>
      </c>
      <c r="D3" s="133" t="s">
        <v>621</v>
      </c>
      <c r="E3" s="133" t="s">
        <v>622</v>
      </c>
      <c r="F3" s="129"/>
      <c r="G3" s="134"/>
      <c r="H3" s="130" t="str">
        <f>IF(COUNTIF('Giriş Sayfası'!A:A,'GENKUR KONUŞMAYAN'!A3),"Tercihi var","Tercihte Bulunmamış")</f>
        <v>Tercihte Bulunmamış</v>
      </c>
    </row>
    <row r="4" spans="1:8" ht="17.25" customHeight="1">
      <c r="A4" s="128">
        <v>15</v>
      </c>
      <c r="B4" s="128">
        <v>2</v>
      </c>
      <c r="C4" s="133" t="s">
        <v>26</v>
      </c>
      <c r="D4" s="133" t="s">
        <v>28</v>
      </c>
      <c r="E4" s="133" t="s">
        <v>29</v>
      </c>
      <c r="F4" s="129"/>
      <c r="G4" s="134"/>
      <c r="H4" s="130" t="str">
        <f>IF(COUNTIF('Giriş Sayfası'!A:A,'GENKUR KONUŞMAYAN'!A4),"Tercihi var","Tercihte Bulunmamış")</f>
        <v>Tercihte Bulunmamış</v>
      </c>
    </row>
    <row r="5" spans="1:8" ht="17.25" customHeight="1">
      <c r="A5" s="128">
        <v>18</v>
      </c>
      <c r="B5" s="128">
        <v>3</v>
      </c>
      <c r="C5" s="133" t="s">
        <v>31</v>
      </c>
      <c r="D5" s="133" t="s">
        <v>178</v>
      </c>
      <c r="E5" s="133" t="s">
        <v>179</v>
      </c>
      <c r="F5" s="129"/>
      <c r="G5" s="134" t="s">
        <v>1048</v>
      </c>
      <c r="H5" s="130" t="str">
        <f>IF(COUNTIF('Giriş Sayfası'!A:A,'GENKUR KONUŞMAYAN'!A5),"Tercihi var","Tercihte Bulunmamış")</f>
        <v>Tercihte Bulunmamış</v>
      </c>
    </row>
    <row r="6" spans="1:8" ht="17.25" customHeight="1">
      <c r="A6" s="128">
        <v>19</v>
      </c>
      <c r="B6" s="128">
        <v>4</v>
      </c>
      <c r="C6" s="133" t="s">
        <v>31</v>
      </c>
      <c r="D6" s="133" t="s">
        <v>75</v>
      </c>
      <c r="E6" s="133" t="s">
        <v>79</v>
      </c>
      <c r="F6" s="129"/>
      <c r="G6" s="134"/>
      <c r="H6" s="130" t="str">
        <f>IF(COUNTIF('Giriş Sayfası'!A:A,'GENKUR KONUŞMAYAN'!A6),"Tercihi var","Tercihte Bulunmamış")</f>
        <v>Tercihte Bulunmamış</v>
      </c>
    </row>
    <row r="7" spans="1:8" ht="17.25" customHeight="1">
      <c r="A7" s="128">
        <v>20</v>
      </c>
      <c r="B7" s="128">
        <v>5</v>
      </c>
      <c r="C7" s="133" t="s">
        <v>31</v>
      </c>
      <c r="D7" s="133" t="s">
        <v>15</v>
      </c>
      <c r="E7" s="133" t="s">
        <v>637</v>
      </c>
      <c r="F7" s="129"/>
      <c r="G7" s="134"/>
      <c r="H7" s="130" t="str">
        <f>IF(COUNTIF('Giriş Sayfası'!A:A,'GENKUR KONUŞMAYAN'!A7),"Tercihi var","Tercihte Bulunmamış")</f>
        <v>Tercihte Bulunmamış</v>
      </c>
    </row>
    <row r="8" spans="1:8" ht="17.25" customHeight="1">
      <c r="A8" s="128">
        <v>23</v>
      </c>
      <c r="B8" s="128">
        <v>6</v>
      </c>
      <c r="C8" s="133" t="s">
        <v>31</v>
      </c>
      <c r="D8" s="133" t="s">
        <v>247</v>
      </c>
      <c r="E8" s="133" t="s">
        <v>248</v>
      </c>
      <c r="F8" s="129" t="s">
        <v>1154</v>
      </c>
      <c r="G8" s="134" t="s">
        <v>1038</v>
      </c>
      <c r="H8" s="130" t="str">
        <f>IF(COUNTIF('Giriş Sayfası'!A:A,'GENKUR KONUŞMAYAN'!A8),"Tercihi var","Tercihte Bulunmamış")</f>
        <v>Tercihte Bulunmamış</v>
      </c>
    </row>
    <row r="9" spans="1:8" ht="17.25" customHeight="1">
      <c r="A9" s="128">
        <v>27</v>
      </c>
      <c r="B9" s="128">
        <v>7</v>
      </c>
      <c r="C9" s="133" t="s">
        <v>31</v>
      </c>
      <c r="D9" s="133" t="s">
        <v>39</v>
      </c>
      <c r="E9" s="133" t="s">
        <v>60</v>
      </c>
      <c r="F9" s="129" t="s">
        <v>1154</v>
      </c>
      <c r="G9" s="134" t="s">
        <v>1038</v>
      </c>
      <c r="H9" s="130" t="str">
        <f>IF(COUNTIF('Giriş Sayfası'!A:A,'GENKUR KONUŞMAYAN'!A9),"Tercihi var","Tercihte Bulunmamış")</f>
        <v>Tercihte Bulunmamış</v>
      </c>
    </row>
    <row r="10" spans="1:8" ht="17.25" customHeight="1">
      <c r="A10" s="128">
        <v>28</v>
      </c>
      <c r="B10" s="128">
        <v>8</v>
      </c>
      <c r="C10" s="133" t="s">
        <v>31</v>
      </c>
      <c r="D10" s="133" t="s">
        <v>217</v>
      </c>
      <c r="E10" s="133" t="s">
        <v>341</v>
      </c>
      <c r="F10" s="129"/>
      <c r="G10" s="134"/>
      <c r="H10" s="130" t="str">
        <f>IF(COUNTIF('Giriş Sayfası'!A:A,'GENKUR KONUŞMAYAN'!A10),"Tercihi var","Tercihte Bulunmamış")</f>
        <v>Tercihte Bulunmamış</v>
      </c>
    </row>
    <row r="11" spans="1:8" ht="17.25" customHeight="1">
      <c r="A11" s="128">
        <v>29</v>
      </c>
      <c r="B11" s="128">
        <v>9</v>
      </c>
      <c r="C11" s="133" t="s">
        <v>31</v>
      </c>
      <c r="D11" s="133" t="s">
        <v>218</v>
      </c>
      <c r="E11" s="133" t="s">
        <v>252</v>
      </c>
      <c r="F11" s="129"/>
      <c r="G11" s="134"/>
      <c r="H11" s="130" t="str">
        <f>IF(COUNTIF('Giriş Sayfası'!A:A,'GENKUR KONUŞMAYAN'!A11),"Tercihi var","Tercihte Bulunmamış")</f>
        <v>Tercihte Bulunmamış</v>
      </c>
    </row>
    <row r="12" spans="1:8" ht="17.25" customHeight="1">
      <c r="A12" s="128">
        <v>35</v>
      </c>
      <c r="B12" s="128">
        <v>10</v>
      </c>
      <c r="C12" s="133" t="s">
        <v>37</v>
      </c>
      <c r="D12" s="133" t="s">
        <v>254</v>
      </c>
      <c r="E12" s="133" t="s">
        <v>100</v>
      </c>
      <c r="F12" s="129"/>
      <c r="G12" s="134" t="s">
        <v>1056</v>
      </c>
      <c r="H12" s="130" t="str">
        <f>IF(COUNTIF('Giriş Sayfası'!A:A,'GENKUR KONUŞMAYAN'!A12),"Tercihi var","Tercihte Bulunmamış")</f>
        <v>Tercihi var</v>
      </c>
    </row>
    <row r="13" spans="1:8" ht="17.25" customHeight="1">
      <c r="A13" s="128">
        <v>60</v>
      </c>
      <c r="B13" s="128">
        <v>11</v>
      </c>
      <c r="C13" s="133" t="s">
        <v>65</v>
      </c>
      <c r="D13" s="133" t="s">
        <v>257</v>
      </c>
      <c r="E13" s="133" t="s">
        <v>258</v>
      </c>
      <c r="F13" s="129" t="s">
        <v>1154</v>
      </c>
      <c r="G13" s="134" t="s">
        <v>1056</v>
      </c>
      <c r="H13" s="130" t="str">
        <f>IF(COUNTIF('Giriş Sayfası'!A:A,'GENKUR KONUŞMAYAN'!A13),"Tercihi var","Tercihte Bulunmamış")</f>
        <v>Tercihte Bulunmamış</v>
      </c>
    </row>
    <row r="14" spans="1:8" ht="17.25" customHeight="1">
      <c r="A14" s="128">
        <v>100</v>
      </c>
      <c r="B14" s="128">
        <v>12</v>
      </c>
      <c r="C14" s="133" t="s">
        <v>91</v>
      </c>
      <c r="D14" s="133" t="s">
        <v>278</v>
      </c>
      <c r="E14" s="133" t="s">
        <v>137</v>
      </c>
      <c r="F14" s="129"/>
      <c r="G14" s="134" t="s">
        <v>1056</v>
      </c>
      <c r="H14" s="130" t="str">
        <f>IF(COUNTIF('Giriş Sayfası'!A:A,'GENKUR KONUŞMAYAN'!A14),"Tercihi var","Tercihte Bulunmamış")</f>
        <v>Tercihte Bulunmamış</v>
      </c>
    </row>
    <row r="15" spans="1:8" ht="17.25" customHeight="1">
      <c r="A15" s="128">
        <v>113</v>
      </c>
      <c r="B15" s="128">
        <v>13</v>
      </c>
      <c r="C15" s="133" t="s">
        <v>751</v>
      </c>
      <c r="D15" s="133" t="s">
        <v>752</v>
      </c>
      <c r="E15" s="133" t="s">
        <v>753</v>
      </c>
      <c r="F15" s="129"/>
      <c r="G15" s="134"/>
      <c r="H15" s="130" t="str">
        <f>IF(COUNTIF('Giriş Sayfası'!A:A,'GENKUR KONUŞMAYAN'!A15),"Tercihi var","Tercihte Bulunmamış")</f>
        <v>Tercihte Bulunmamış</v>
      </c>
    </row>
    <row r="16" spans="1:8" ht="17.25" customHeight="1">
      <c r="A16" s="128">
        <v>114</v>
      </c>
      <c r="B16" s="128">
        <v>14</v>
      </c>
      <c r="C16" s="133" t="s">
        <v>98</v>
      </c>
      <c r="D16" s="133" t="s">
        <v>755</v>
      </c>
      <c r="E16" s="133" t="s">
        <v>281</v>
      </c>
      <c r="F16" s="129"/>
      <c r="G16" s="134" t="s">
        <v>1040</v>
      </c>
      <c r="H16" s="130" t="str">
        <f>IF(COUNTIF('Giriş Sayfası'!A:A,'GENKUR KONUŞMAYAN'!A16),"Tercihi var","Tercihte Bulunmamış")</f>
        <v>Tercihte Bulunmamış</v>
      </c>
    </row>
    <row r="17" spans="1:8" ht="17.25" customHeight="1">
      <c r="A17" s="128">
        <v>123</v>
      </c>
      <c r="B17" s="128">
        <v>15</v>
      </c>
      <c r="C17" s="133" t="s">
        <v>104</v>
      </c>
      <c r="D17" s="133" t="s">
        <v>105</v>
      </c>
      <c r="E17" s="133" t="s">
        <v>100</v>
      </c>
      <c r="F17" s="129"/>
      <c r="G17" s="134" t="s">
        <v>1056</v>
      </c>
      <c r="H17" s="130" t="str">
        <f>IF(COUNTIF('Giriş Sayfası'!A:A,'GENKUR KONUŞMAYAN'!A17),"Tercihi var","Tercihte Bulunmamış")</f>
        <v>Tercihi var</v>
      </c>
    </row>
    <row r="18" spans="1:8" ht="17.25" customHeight="1">
      <c r="A18" s="128">
        <v>126</v>
      </c>
      <c r="B18" s="128">
        <v>16</v>
      </c>
      <c r="C18" s="133" t="s">
        <v>104</v>
      </c>
      <c r="D18" s="133" t="s">
        <v>183</v>
      </c>
      <c r="E18" s="133" t="s">
        <v>289</v>
      </c>
      <c r="F18" s="129"/>
      <c r="G18" s="134"/>
      <c r="H18" s="130" t="str">
        <f>IF(COUNTIF('Giriş Sayfası'!A:A,'GENKUR KONUŞMAYAN'!A18),"Tercihi var","Tercihte Bulunmamış")</f>
        <v>Tercihte Bulunmamış</v>
      </c>
    </row>
    <row r="19" spans="1:8" ht="17.25" customHeight="1">
      <c r="A19" s="128">
        <v>134</v>
      </c>
      <c r="B19" s="128">
        <v>17</v>
      </c>
      <c r="C19" s="133" t="s">
        <v>104</v>
      </c>
      <c r="D19" s="133" t="s">
        <v>773</v>
      </c>
      <c r="E19" s="133" t="s">
        <v>774</v>
      </c>
      <c r="F19" s="129"/>
      <c r="G19" s="134"/>
      <c r="H19" s="130" t="str">
        <f>IF(COUNTIF('Giriş Sayfası'!A:A,'GENKUR KONUŞMAYAN'!A19),"Tercihi var","Tercihte Bulunmamış")</f>
        <v>Tercihte Bulunmamış</v>
      </c>
    </row>
    <row r="20" spans="1:8" ht="17.25" customHeight="1">
      <c r="A20" s="128">
        <v>143</v>
      </c>
      <c r="B20" s="128">
        <v>18</v>
      </c>
      <c r="C20" s="133" t="s">
        <v>104</v>
      </c>
      <c r="D20" s="133" t="s">
        <v>295</v>
      </c>
      <c r="E20" s="133" t="s">
        <v>296</v>
      </c>
      <c r="F20" s="129" t="s">
        <v>1154</v>
      </c>
      <c r="G20" s="134" t="s">
        <v>1038</v>
      </c>
      <c r="H20" s="130" t="str">
        <f>IF(COUNTIF('Giriş Sayfası'!A:A,'GENKUR KONUŞMAYAN'!A20),"Tercihi var","Tercihte Bulunmamış")</f>
        <v>Tercihte Bulunmamış</v>
      </c>
    </row>
    <row r="21" spans="1:8" ht="17.25" customHeight="1">
      <c r="A21" s="128">
        <v>149</v>
      </c>
      <c r="B21" s="128">
        <v>19</v>
      </c>
      <c r="C21" s="133" t="s">
        <v>104</v>
      </c>
      <c r="D21" s="133" t="s">
        <v>344</v>
      </c>
      <c r="E21" s="133" t="s">
        <v>345</v>
      </c>
      <c r="F21" s="129" t="s">
        <v>1166</v>
      </c>
      <c r="G21" s="134" t="s">
        <v>1056</v>
      </c>
      <c r="H21" s="130" t="str">
        <f>IF(COUNTIF('Giriş Sayfası'!A:A,'GENKUR KONUŞMAYAN'!A21),"Tercihi var","Tercihte Bulunmamış")</f>
        <v>Tercihte Bulunmamış</v>
      </c>
    </row>
    <row r="22" spans="1:8" ht="17.25" customHeight="1">
      <c r="A22" s="128">
        <v>154</v>
      </c>
      <c r="B22" s="128">
        <v>20</v>
      </c>
      <c r="C22" s="133" t="s">
        <v>104</v>
      </c>
      <c r="D22" s="133" t="s">
        <v>299</v>
      </c>
      <c r="E22" s="133" t="s">
        <v>300</v>
      </c>
      <c r="F22" s="129" t="s">
        <v>1154</v>
      </c>
      <c r="G22" s="134" t="s">
        <v>1038</v>
      </c>
      <c r="H22" s="130" t="str">
        <f>IF(COUNTIF('Giriş Sayfası'!A:A,'GENKUR KONUŞMAYAN'!A22),"Tercihi var","Tercihte Bulunmamış")</f>
        <v>Tercihte Bulunmamış</v>
      </c>
    </row>
    <row r="23" spans="1:8" ht="17.25" customHeight="1">
      <c r="A23" s="128">
        <v>176</v>
      </c>
      <c r="B23" s="128">
        <v>21</v>
      </c>
      <c r="C23" s="133" t="s">
        <v>1438</v>
      </c>
      <c r="D23" s="133" t="s">
        <v>115</v>
      </c>
      <c r="E23" s="133" t="s">
        <v>223</v>
      </c>
      <c r="F23" s="129" t="s">
        <v>1154</v>
      </c>
      <c r="G23" s="134" t="s">
        <v>1038</v>
      </c>
      <c r="H23" s="130" t="str">
        <f>IF(COUNTIF('Giriş Sayfası'!A:A,'GENKUR KONUŞMAYAN'!A23),"Tercihi var","Tercihte Bulunmamış")</f>
        <v>Tercihte Bulunmamış</v>
      </c>
    </row>
    <row r="24" spans="1:8" ht="17.25" customHeight="1">
      <c r="A24" s="128">
        <v>188</v>
      </c>
      <c r="B24" s="128">
        <v>22</v>
      </c>
      <c r="C24" s="133" t="s">
        <v>123</v>
      </c>
      <c r="D24" s="133" t="s">
        <v>315</v>
      </c>
      <c r="E24" s="133" t="s">
        <v>18</v>
      </c>
      <c r="F24" s="129" t="s">
        <v>1154</v>
      </c>
      <c r="G24" s="134" t="s">
        <v>1038</v>
      </c>
      <c r="H24" s="130" t="str">
        <f>IF(COUNTIF('Giriş Sayfası'!A:A,'GENKUR KONUŞMAYAN'!A24),"Tercihi var","Tercihte Bulunmamış")</f>
        <v>Tercihte Bulunmamış</v>
      </c>
    </row>
    <row r="25" spans="1:8" ht="17.25" customHeight="1">
      <c r="A25" s="128">
        <v>221</v>
      </c>
      <c r="B25" s="128">
        <v>23</v>
      </c>
      <c r="C25" s="133" t="s">
        <v>143</v>
      </c>
      <c r="D25" s="133" t="s">
        <v>337</v>
      </c>
      <c r="E25" s="133" t="s">
        <v>72</v>
      </c>
      <c r="F25" s="129"/>
      <c r="G25" s="134" t="s">
        <v>1056</v>
      </c>
      <c r="H25" s="130" t="str">
        <f>IF(COUNTIF('Giriş Sayfası'!A:A,'GENKUR KONUŞMAYAN'!A25),"Tercihi var","Tercihte Bulunmamış")</f>
        <v>Tercihte Bulunmamış</v>
      </c>
    </row>
    <row r="26" spans="1:8" ht="17.25" customHeight="1">
      <c r="A26" s="128">
        <v>243</v>
      </c>
      <c r="B26" s="128">
        <v>24</v>
      </c>
      <c r="C26" s="133" t="s">
        <v>152</v>
      </c>
      <c r="D26" s="133" t="s">
        <v>195</v>
      </c>
      <c r="E26" s="133" t="s">
        <v>877</v>
      </c>
      <c r="F26" s="129"/>
      <c r="G26" s="134"/>
      <c r="H26" s="130" t="str">
        <f>IF(COUNTIF('Giriş Sayfası'!A:A,'GENKUR KONUŞMAYAN'!A26),"Tercihi var","Tercihte Bulunmamış")</f>
        <v>Tercihi var</v>
      </c>
    </row>
    <row r="27" spans="1:8" ht="17.25" customHeight="1">
      <c r="A27" s="128">
        <v>249</v>
      </c>
      <c r="B27" s="128">
        <v>25</v>
      </c>
      <c r="C27" s="133" t="s">
        <v>153</v>
      </c>
      <c r="D27" s="133" t="s">
        <v>230</v>
      </c>
      <c r="E27" s="133" t="s">
        <v>79</v>
      </c>
      <c r="F27" s="129" t="s">
        <v>1154</v>
      </c>
      <c r="G27" s="134" t="s">
        <v>1038</v>
      </c>
      <c r="H27" s="130" t="str">
        <f>IF(COUNTIF('Giriş Sayfası'!A:A,'GENKUR KONUŞMAYAN'!A27),"Tercihi var","Tercihte Bulunmamış")</f>
        <v>Tercihte Bulunmamış</v>
      </c>
    </row>
    <row r="28" spans="1:8" ht="17.25" customHeight="1">
      <c r="A28" s="128">
        <v>251</v>
      </c>
      <c r="B28" s="128">
        <v>26</v>
      </c>
      <c r="C28" s="133" t="s">
        <v>154</v>
      </c>
      <c r="D28" s="133" t="s">
        <v>352</v>
      </c>
      <c r="E28" s="133" t="s">
        <v>353</v>
      </c>
      <c r="F28" s="129" t="s">
        <v>1154</v>
      </c>
      <c r="G28" s="134" t="s">
        <v>1038</v>
      </c>
      <c r="H28" s="130" t="str">
        <f>IF(COUNTIF('Giriş Sayfası'!A:A,'GENKUR KONUŞMAYAN'!A28),"Tercihi var","Tercihte Bulunmamış")</f>
        <v>Tercihte Bulunmamış</v>
      </c>
    </row>
    <row r="29" spans="1:8" ht="17.25" customHeight="1">
      <c r="A29" s="128">
        <v>268</v>
      </c>
      <c r="B29" s="128">
        <v>27</v>
      </c>
      <c r="C29" s="133" t="s">
        <v>898</v>
      </c>
      <c r="D29" s="133" t="s">
        <v>899</v>
      </c>
      <c r="E29" s="133" t="s">
        <v>900</v>
      </c>
      <c r="F29" s="129"/>
      <c r="G29" s="134"/>
      <c r="H29" s="130" t="str">
        <f>IF(COUNTIF('Giriş Sayfası'!A:A,'GENKUR KONUŞMAYAN'!A29),"Tercihi var","Tercihte Bulunmamış")</f>
        <v>Tercihte Bulunmamış</v>
      </c>
    </row>
    <row r="30" spans="1:8" ht="17.25" customHeight="1">
      <c r="A30" s="128">
        <v>279</v>
      </c>
      <c r="B30" s="128">
        <v>28</v>
      </c>
      <c r="C30" s="133" t="s">
        <v>165</v>
      </c>
      <c r="D30" s="133" t="s">
        <v>235</v>
      </c>
      <c r="E30" s="133" t="s">
        <v>18</v>
      </c>
      <c r="F30" s="129" t="s">
        <v>1157</v>
      </c>
      <c r="G30" s="134" t="s">
        <v>1158</v>
      </c>
      <c r="H30" s="130" t="str">
        <f>IF(COUNTIF('Giriş Sayfası'!A:A,'GENKUR KONUŞMAYAN'!A30),"Tercihi var","Tercihte Bulunmamış")</f>
        <v>Tercihte Bulunmamış</v>
      </c>
    </row>
  </sheetData>
  <mergeCells count="1">
    <mergeCell ref="B1:H1"/>
  </mergeCells>
  <pageMargins left="0.39370078740157483" right="0.17" top="0.39370078740157483" bottom="0.3937007874015748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14</vt:i4>
      </vt:variant>
      <vt:variant>
        <vt:lpstr>Adlandırılmış Aralıklar</vt:lpstr>
      </vt:variant>
      <vt:variant>
        <vt:i4>17</vt:i4>
      </vt:variant>
    </vt:vector>
  </HeadingPairs>
  <TitlesOfParts>
    <vt:vector size="31" baseType="lpstr">
      <vt:lpstr>Giriş Sayfası</vt:lpstr>
      <vt:lpstr>kod_listesi</vt:lpstr>
      <vt:lpstr>Tercih Sayıları</vt:lpstr>
      <vt:lpstr>2018-2019 Konuşan</vt:lpstr>
      <vt:lpstr>Mv.Tercihleri</vt:lpstr>
      <vt:lpstr>HANGİ BÜTÇE KİM</vt:lpstr>
      <vt:lpstr>plan büt trch</vt:lpstr>
      <vt:lpstr>PLAN-BÜTÇE</vt:lpstr>
      <vt:lpstr>TERCİH EDİLMEYEN</vt:lpstr>
      <vt:lpstr>TERCİH kontrol</vt:lpstr>
      <vt:lpstr>tercihi Olmayan</vt:lpstr>
      <vt:lpstr>İSTATİSTİK</vt:lpstr>
      <vt:lpstr>bütç.konuşmayan tercih</vt:lpstr>
      <vt:lpstr>GENKUR KONUŞMAYAN</vt:lpstr>
      <vt:lpstr>'2018-2019 Konuşan'!Yazdırma_Alanı</vt:lpstr>
      <vt:lpstr>'GENKUR KONUŞMAYAN'!Yazdırma_Alanı</vt:lpstr>
      <vt:lpstr>'HANGİ BÜTÇE KİM'!Yazdırma_Alanı</vt:lpstr>
      <vt:lpstr>İSTATİSTİK!Yazdırma_Alanı</vt:lpstr>
      <vt:lpstr>kod_listesi!Yazdırma_Alanı</vt:lpstr>
      <vt:lpstr>Mv.Tercihleri!Yazdırma_Alanı</vt:lpstr>
      <vt:lpstr>'plan büt trch'!Yazdırma_Alanı</vt:lpstr>
      <vt:lpstr>'PLAN-BÜTÇE'!Yazdırma_Alanı</vt:lpstr>
      <vt:lpstr>'TERCİH kontrol'!Yazdırma_Alanı</vt:lpstr>
      <vt:lpstr>'tercihi Olmayan'!Yazdırma_Alanı</vt:lpstr>
      <vt:lpstr>'2018-2019 Konuşan'!Yazdırma_Başlıkları</vt:lpstr>
      <vt:lpstr>'HANGİ BÜTÇE KİM'!Yazdırma_Başlıkları</vt:lpstr>
      <vt:lpstr>İSTATİSTİK!Yazdırma_Başlıkları</vt:lpstr>
      <vt:lpstr>kod_listesi!Yazdırma_Başlıkları</vt:lpstr>
      <vt:lpstr>Mv.Tercihleri!Yazdırma_Başlıkları</vt:lpstr>
      <vt:lpstr>'plan büt trch'!Yazdırma_Başlıkları</vt:lpstr>
      <vt:lpstr>'tercihi Olmayan'!Yazdırma_Başlıkları</vt:lpstr>
    </vt:vector>
  </TitlesOfParts>
  <Company>maliye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pergen</dc:creator>
  <cp:lastModifiedBy>sevket</cp:lastModifiedBy>
  <cp:lastPrinted>2020-11-26T13:47:15Z</cp:lastPrinted>
  <dcterms:created xsi:type="dcterms:W3CDTF">2005-06-05T14:09:56Z</dcterms:created>
  <dcterms:modified xsi:type="dcterms:W3CDTF">2020-11-26T13:47:40Z</dcterms:modified>
</cp:coreProperties>
</file>